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8b4d0fb897a0381/不動産関係/★検討中案件★/島根ハイツ　草加市　FAC熊丸/"/>
    </mc:Choice>
  </mc:AlternateContent>
  <xr:revisionPtr revIDLastSave="9" documentId="8_{0DEAAC28-0CBE-412B-806E-D8D61B7F6FAA}" xr6:coauthVersionLast="47" xr6:coauthVersionMax="47" xr10:uidLastSave="{6367E541-E67B-4C52-8D36-CF5FA1464E22}"/>
  <bookViews>
    <workbookView xWindow="-110" yWindow="-110" windowWidth="22780" windowHeight="14540" activeTab="1" xr2:uid="{EEE40015-94E2-4A5C-BACB-BEA909D06C12}"/>
  </bookViews>
  <sheets>
    <sheet name="INPUTS" sheetId="8" r:id="rId1"/>
    <sheet name="OUTPUT" sheetId="9" r:id="rId2"/>
    <sheet name="返済シュミレーション (3)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9" l="1"/>
  <c r="H10" i="10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131" i="10" s="1"/>
  <c r="H132" i="10" s="1"/>
  <c r="H133" i="10" s="1"/>
  <c r="H134" i="10" s="1"/>
  <c r="H135" i="10" s="1"/>
  <c r="H136" i="10" s="1"/>
  <c r="H137" i="10" s="1"/>
  <c r="H138" i="10" s="1"/>
  <c r="H139" i="10" s="1"/>
  <c r="H140" i="10" s="1"/>
  <c r="H141" i="10" s="1"/>
  <c r="H142" i="10" s="1"/>
  <c r="H143" i="10" s="1"/>
  <c r="H144" i="10" s="1"/>
  <c r="H145" i="10" s="1"/>
  <c r="H146" i="10" s="1"/>
  <c r="H147" i="10" s="1"/>
  <c r="H148" i="10" s="1"/>
  <c r="H149" i="10" s="1"/>
  <c r="H150" i="10" s="1"/>
  <c r="H151" i="10" s="1"/>
  <c r="H152" i="10" s="1"/>
  <c r="H153" i="10" s="1"/>
  <c r="H154" i="10" s="1"/>
  <c r="H155" i="10" s="1"/>
  <c r="H156" i="10" s="1"/>
  <c r="H157" i="10" s="1"/>
  <c r="H158" i="10" s="1"/>
  <c r="H159" i="10" s="1"/>
  <c r="H160" i="10" s="1"/>
  <c r="H161" i="10" s="1"/>
  <c r="H162" i="10" s="1"/>
  <c r="H163" i="10" s="1"/>
  <c r="H164" i="10" s="1"/>
  <c r="H165" i="10" s="1"/>
  <c r="H166" i="10" s="1"/>
  <c r="H167" i="10" s="1"/>
  <c r="H168" i="10" s="1"/>
  <c r="H169" i="10" s="1"/>
  <c r="H170" i="10" s="1"/>
  <c r="H171" i="10" s="1"/>
  <c r="H172" i="10" s="1"/>
  <c r="H173" i="10" s="1"/>
  <c r="H174" i="10" s="1"/>
  <c r="H175" i="10" s="1"/>
  <c r="H176" i="10" s="1"/>
  <c r="H177" i="10" s="1"/>
  <c r="H178" i="10" s="1"/>
  <c r="H179" i="10" s="1"/>
  <c r="H180" i="10" s="1"/>
  <c r="H181" i="10" s="1"/>
  <c r="H182" i="10" s="1"/>
  <c r="H183" i="10" s="1"/>
  <c r="H184" i="10" s="1"/>
  <c r="H185" i="10" s="1"/>
  <c r="H186" i="10" s="1"/>
  <c r="H187" i="10" s="1"/>
  <c r="H188" i="10" s="1"/>
  <c r="H189" i="10" s="1"/>
  <c r="H190" i="10" s="1"/>
  <c r="H191" i="10" s="1"/>
  <c r="H192" i="10" s="1"/>
  <c r="H193" i="10" s="1"/>
  <c r="H194" i="10" s="1"/>
  <c r="H195" i="10" s="1"/>
  <c r="H196" i="10" s="1"/>
  <c r="H197" i="10" s="1"/>
  <c r="H198" i="10" s="1"/>
  <c r="H199" i="10" s="1"/>
  <c r="H200" i="10" s="1"/>
  <c r="H201" i="10" s="1"/>
  <c r="H202" i="10" s="1"/>
  <c r="H203" i="10" s="1"/>
  <c r="H204" i="10" s="1"/>
  <c r="H205" i="10" s="1"/>
  <c r="H206" i="10" s="1"/>
  <c r="H207" i="10" s="1"/>
  <c r="H208" i="10" s="1"/>
  <c r="H209" i="10" s="1"/>
  <c r="H210" i="10" s="1"/>
  <c r="H211" i="10" s="1"/>
  <c r="H212" i="10" s="1"/>
  <c r="H213" i="10" s="1"/>
  <c r="H214" i="10" s="1"/>
  <c r="H215" i="10" s="1"/>
  <c r="H216" i="10" s="1"/>
  <c r="H217" i="10" s="1"/>
  <c r="H218" i="10" s="1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H250" i="10" s="1"/>
  <c r="H251" i="10" s="1"/>
  <c r="H252" i="10" s="1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H298" i="10" s="1"/>
  <c r="H299" i="10" s="1"/>
  <c r="H300" i="10" s="1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H346" i="10" s="1"/>
  <c r="H347" i="10" s="1"/>
  <c r="H348" i="10" s="1"/>
  <c r="H349" i="10" s="1"/>
  <c r="H350" i="10" s="1"/>
  <c r="H351" i="10" s="1"/>
  <c r="H352" i="10" s="1"/>
  <c r="H353" i="10" s="1"/>
  <c r="H354" i="10" s="1"/>
  <c r="H355" i="10" s="1"/>
  <c r="H356" i="10" s="1"/>
  <c r="H357" i="10" s="1"/>
  <c r="H358" i="10" s="1"/>
  <c r="H359" i="10" s="1"/>
  <c r="H360" i="10" s="1"/>
  <c r="H361" i="10" s="1"/>
  <c r="H362" i="10" s="1"/>
  <c r="H363" i="10" s="1"/>
  <c r="H364" i="10" s="1"/>
  <c r="H365" i="10" s="1"/>
  <c r="H366" i="10" s="1"/>
  <c r="H367" i="10" s="1"/>
  <c r="H368" i="10" s="1"/>
  <c r="B10" i="10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J9" i="10"/>
  <c r="D9" i="10"/>
  <c r="J5" i="10"/>
  <c r="J6" i="10" s="1"/>
  <c r="D5" i="10"/>
  <c r="I9" i="10" l="1"/>
  <c r="D6" i="10"/>
  <c r="C9" i="10"/>
  <c r="I10" i="10" l="1"/>
  <c r="K9" i="10"/>
  <c r="L9" i="10" s="1"/>
  <c r="J10" i="10" s="1"/>
  <c r="C10" i="10"/>
  <c r="E9" i="10"/>
  <c r="F9" i="10" s="1"/>
  <c r="I11" i="10" l="1"/>
  <c r="K10" i="10"/>
  <c r="L10" i="10" s="1"/>
  <c r="J11" i="10" s="1"/>
  <c r="K11" i="10" s="1"/>
  <c r="L11" i="10" s="1"/>
  <c r="J12" i="10" s="1"/>
  <c r="I12" i="10"/>
  <c r="D10" i="10"/>
  <c r="E10" i="10" s="1"/>
  <c r="F10" i="10" s="1"/>
  <c r="C11" i="10"/>
  <c r="D11" i="10" l="1"/>
  <c r="E11" i="10" s="1"/>
  <c r="F11" i="10" s="1"/>
  <c r="K12" i="10"/>
  <c r="L12" i="10" s="1"/>
  <c r="J13" i="10" s="1"/>
  <c r="I13" i="10"/>
  <c r="C12" i="10"/>
  <c r="D12" i="10" l="1"/>
  <c r="E12" i="10" s="1"/>
  <c r="F12" i="10" s="1"/>
  <c r="K13" i="10"/>
  <c r="L13" i="10" s="1"/>
  <c r="J14" i="10" s="1"/>
  <c r="I14" i="10"/>
  <c r="C13" i="10"/>
  <c r="D13" i="10" l="1"/>
  <c r="E13" i="10" s="1"/>
  <c r="F13" i="10" s="1"/>
  <c r="K14" i="10"/>
  <c r="L14" i="10" s="1"/>
  <c r="J15" i="10" s="1"/>
  <c r="C14" i="10"/>
  <c r="I15" i="10"/>
  <c r="D14" i="10" l="1"/>
  <c r="K15" i="10"/>
  <c r="L15" i="10" s="1"/>
  <c r="J16" i="10" s="1"/>
  <c r="C15" i="10"/>
  <c r="E14" i="10"/>
  <c r="F14" i="10" s="1"/>
  <c r="I16" i="10"/>
  <c r="D15" i="10" l="1"/>
  <c r="E15" i="10" s="1"/>
  <c r="F15" i="10" s="1"/>
  <c r="K16" i="10"/>
  <c r="L16" i="10" s="1"/>
  <c r="J17" i="10" s="1"/>
  <c r="C16" i="10"/>
  <c r="I17" i="10"/>
  <c r="K17" i="10" l="1"/>
  <c r="L17" i="10" s="1"/>
  <c r="J18" i="10" s="1"/>
  <c r="D16" i="10"/>
  <c r="E16" i="10" s="1"/>
  <c r="F16" i="10" s="1"/>
  <c r="C17" i="10"/>
  <c r="I18" i="10"/>
  <c r="D17" i="10" l="1"/>
  <c r="E17" i="10" s="1"/>
  <c r="F17" i="10" s="1"/>
  <c r="K18" i="10"/>
  <c r="L18" i="10" s="1"/>
  <c r="J19" i="10" s="1"/>
  <c r="C18" i="10"/>
  <c r="I19" i="10"/>
  <c r="K19" i="10" l="1"/>
  <c r="L19" i="10" s="1"/>
  <c r="J20" i="10" s="1"/>
  <c r="D18" i="10"/>
  <c r="E18" i="10"/>
  <c r="F18" i="10" s="1"/>
  <c r="C19" i="10"/>
  <c r="I20" i="10"/>
  <c r="D19" i="10" l="1"/>
  <c r="E19" i="10" s="1"/>
  <c r="F19" i="10" s="1"/>
  <c r="K20" i="10"/>
  <c r="L20" i="10" s="1"/>
  <c r="J21" i="10" s="1"/>
  <c r="C20" i="10"/>
  <c r="I21" i="10"/>
  <c r="K21" i="10" l="1"/>
  <c r="L21" i="10" s="1"/>
  <c r="J22" i="10" s="1"/>
  <c r="D20" i="10"/>
  <c r="E20" i="10" s="1"/>
  <c r="F20" i="10" s="1"/>
  <c r="I22" i="10"/>
  <c r="C21" i="10"/>
  <c r="D21" i="10" l="1"/>
  <c r="E21" i="10"/>
  <c r="F21" i="10" s="1"/>
  <c r="C22" i="10"/>
  <c r="K22" i="10"/>
  <c r="L22" i="10" s="1"/>
  <c r="J23" i="10" s="1"/>
  <c r="I23" i="10"/>
  <c r="K23" i="10" l="1"/>
  <c r="L23" i="10" s="1"/>
  <c r="J24" i="10" s="1"/>
  <c r="D22" i="10"/>
  <c r="E22" i="10" s="1"/>
  <c r="F22" i="10" s="1"/>
  <c r="C23" i="10"/>
  <c r="I24" i="10"/>
  <c r="K24" i="10" l="1"/>
  <c r="L24" i="10" s="1"/>
  <c r="J25" i="10" s="1"/>
  <c r="D23" i="10"/>
  <c r="E23" i="10" s="1"/>
  <c r="F23" i="10" s="1"/>
  <c r="C24" i="10"/>
  <c r="I25" i="10"/>
  <c r="K25" i="10" l="1"/>
  <c r="L25" i="10" s="1"/>
  <c r="J26" i="10" s="1"/>
  <c r="D24" i="10"/>
  <c r="C25" i="10"/>
  <c r="E24" i="10"/>
  <c r="F24" i="10" s="1"/>
  <c r="I26" i="10"/>
  <c r="D25" i="10" l="1"/>
  <c r="E25" i="10" s="1"/>
  <c r="F25" i="10" s="1"/>
  <c r="C26" i="10"/>
  <c r="I27" i="10"/>
  <c r="K26" i="10"/>
  <c r="L26" i="10" s="1"/>
  <c r="J27" i="10" s="1"/>
  <c r="K27" i="10" l="1"/>
  <c r="L27" i="10" s="1"/>
  <c r="J28" i="10" s="1"/>
  <c r="D26" i="10"/>
  <c r="E26" i="10" s="1"/>
  <c r="F26" i="10" s="1"/>
  <c r="C27" i="10"/>
  <c r="I28" i="10"/>
  <c r="K28" i="10" l="1"/>
  <c r="L28" i="10" s="1"/>
  <c r="J29" i="10" s="1"/>
  <c r="D27" i="10"/>
  <c r="E27" i="10" s="1"/>
  <c r="F27" i="10" s="1"/>
  <c r="I29" i="10"/>
  <c r="C28" i="10"/>
  <c r="D28" i="10" l="1"/>
  <c r="E28" i="10" s="1"/>
  <c r="F28" i="10" s="1"/>
  <c r="K29" i="10"/>
  <c r="L29" i="10" s="1"/>
  <c r="J30" i="10" s="1"/>
  <c r="C29" i="10"/>
  <c r="I30" i="10"/>
  <c r="K30" i="10" l="1"/>
  <c r="L30" i="10" s="1"/>
  <c r="J31" i="10" s="1"/>
  <c r="D29" i="10"/>
  <c r="E29" i="10" s="1"/>
  <c r="F29" i="10" s="1"/>
  <c r="I31" i="10"/>
  <c r="C30" i="10"/>
  <c r="D30" i="10" l="1"/>
  <c r="E30" i="10" s="1"/>
  <c r="F30" i="10" s="1"/>
  <c r="K31" i="10"/>
  <c r="L31" i="10" s="1"/>
  <c r="J32" i="10" s="1"/>
  <c r="C31" i="10"/>
  <c r="I32" i="10"/>
  <c r="D31" i="10" l="1"/>
  <c r="E31" i="10" s="1"/>
  <c r="F31" i="10" s="1"/>
  <c r="K32" i="10"/>
  <c r="L32" i="10" s="1"/>
  <c r="J33" i="10" s="1"/>
  <c r="C32" i="10"/>
  <c r="I33" i="10"/>
  <c r="D32" i="10" l="1"/>
  <c r="E32" i="10" s="1"/>
  <c r="F32" i="10" s="1"/>
  <c r="K33" i="10"/>
  <c r="L33" i="10" s="1"/>
  <c r="J34" i="10" s="1"/>
  <c r="C33" i="10"/>
  <c r="I34" i="10"/>
  <c r="D33" i="10" l="1"/>
  <c r="E33" i="10" s="1"/>
  <c r="F33" i="10" s="1"/>
  <c r="K34" i="10"/>
  <c r="L34" i="10" s="1"/>
  <c r="J35" i="10" s="1"/>
  <c r="C34" i="10"/>
  <c r="I35" i="10"/>
  <c r="D34" i="10" l="1"/>
  <c r="E34" i="10" s="1"/>
  <c r="F34" i="10" s="1"/>
  <c r="K35" i="10"/>
  <c r="L35" i="10" s="1"/>
  <c r="J36" i="10" s="1"/>
  <c r="C35" i="10"/>
  <c r="I36" i="10"/>
  <c r="D35" i="10" l="1"/>
  <c r="E35" i="10" s="1"/>
  <c r="F35" i="10" s="1"/>
  <c r="K36" i="10"/>
  <c r="L36" i="10" s="1"/>
  <c r="J37" i="10" s="1"/>
  <c r="C36" i="10"/>
  <c r="I37" i="10"/>
  <c r="D36" i="10" l="1"/>
  <c r="E36" i="10" s="1"/>
  <c r="F36" i="10" s="1"/>
  <c r="K37" i="10"/>
  <c r="L37" i="10" s="1"/>
  <c r="J38" i="10" s="1"/>
  <c r="C37" i="10"/>
  <c r="I38" i="10"/>
  <c r="D37" i="10" l="1"/>
  <c r="E37" i="10" s="1"/>
  <c r="F37" i="10" s="1"/>
  <c r="K38" i="10"/>
  <c r="L38" i="10" s="1"/>
  <c r="J39" i="10" s="1"/>
  <c r="C38" i="10"/>
  <c r="I39" i="10"/>
  <c r="D38" i="10" l="1"/>
  <c r="E38" i="10" s="1"/>
  <c r="F38" i="10" s="1"/>
  <c r="K39" i="10"/>
  <c r="L39" i="10" s="1"/>
  <c r="J40" i="10" s="1"/>
  <c r="C39" i="10"/>
  <c r="I40" i="10"/>
  <c r="D39" i="10" l="1"/>
  <c r="E39" i="10" s="1"/>
  <c r="F39" i="10" s="1"/>
  <c r="K40" i="10"/>
  <c r="L40" i="10" s="1"/>
  <c r="J41" i="10" s="1"/>
  <c r="C40" i="10"/>
  <c r="I41" i="10"/>
  <c r="D40" i="10" l="1"/>
  <c r="E40" i="10" s="1"/>
  <c r="F40" i="10" s="1"/>
  <c r="K41" i="10"/>
  <c r="L41" i="10" s="1"/>
  <c r="J42" i="10" s="1"/>
  <c r="C41" i="10"/>
  <c r="I42" i="10"/>
  <c r="D41" i="10" l="1"/>
  <c r="E41" i="10" s="1"/>
  <c r="F41" i="10" s="1"/>
  <c r="K42" i="10"/>
  <c r="L42" i="10" s="1"/>
  <c r="J43" i="10" s="1"/>
  <c r="C42" i="10"/>
  <c r="I43" i="10"/>
  <c r="D42" i="10" l="1"/>
  <c r="E42" i="10" s="1"/>
  <c r="F42" i="10" s="1"/>
  <c r="K43" i="10"/>
  <c r="L43" i="10" s="1"/>
  <c r="J44" i="10" s="1"/>
  <c r="C43" i="10"/>
  <c r="I44" i="10"/>
  <c r="D43" i="10" l="1"/>
  <c r="E43" i="10" s="1"/>
  <c r="F43" i="10" s="1"/>
  <c r="K44" i="10"/>
  <c r="L44" i="10" s="1"/>
  <c r="J45" i="10" s="1"/>
  <c r="C44" i="10"/>
  <c r="I45" i="10"/>
  <c r="D44" i="10" l="1"/>
  <c r="E44" i="10" s="1"/>
  <c r="F44" i="10" s="1"/>
  <c r="K45" i="10"/>
  <c r="L45" i="10" s="1"/>
  <c r="J46" i="10" s="1"/>
  <c r="C45" i="10"/>
  <c r="I46" i="10"/>
  <c r="D45" i="10" l="1"/>
  <c r="E45" i="10" s="1"/>
  <c r="F45" i="10" s="1"/>
  <c r="K46" i="10"/>
  <c r="L46" i="10" s="1"/>
  <c r="J47" i="10" s="1"/>
  <c r="C46" i="10"/>
  <c r="I47" i="10"/>
  <c r="D46" i="10" l="1"/>
  <c r="E46" i="10" s="1"/>
  <c r="F46" i="10" s="1"/>
  <c r="K47" i="10"/>
  <c r="L47" i="10" s="1"/>
  <c r="J48" i="10" s="1"/>
  <c r="C47" i="10"/>
  <c r="I48" i="10"/>
  <c r="D47" i="10" l="1"/>
  <c r="E47" i="10" s="1"/>
  <c r="F47" i="10" s="1"/>
  <c r="K48" i="10"/>
  <c r="L48" i="10" s="1"/>
  <c r="J49" i="10" s="1"/>
  <c r="C48" i="10"/>
  <c r="I49" i="10"/>
  <c r="D48" i="10" l="1"/>
  <c r="E48" i="10" s="1"/>
  <c r="F48" i="10" s="1"/>
  <c r="K49" i="10"/>
  <c r="L49" i="10" s="1"/>
  <c r="J50" i="10" s="1"/>
  <c r="C49" i="10"/>
  <c r="I50" i="10"/>
  <c r="D49" i="10" l="1"/>
  <c r="E49" i="10" s="1"/>
  <c r="F49" i="10" s="1"/>
  <c r="K50" i="10"/>
  <c r="L50" i="10" s="1"/>
  <c r="J51" i="10" s="1"/>
  <c r="C50" i="10"/>
  <c r="I51" i="10"/>
  <c r="D50" i="10" l="1"/>
  <c r="E50" i="10" s="1"/>
  <c r="F50" i="10" s="1"/>
  <c r="K51" i="10"/>
  <c r="L51" i="10" s="1"/>
  <c r="J52" i="10" s="1"/>
  <c r="C51" i="10"/>
  <c r="I52" i="10"/>
  <c r="D51" i="10" l="1"/>
  <c r="K52" i="10"/>
  <c r="L52" i="10" s="1"/>
  <c r="J53" i="10" s="1"/>
  <c r="E51" i="10"/>
  <c r="F51" i="10" s="1"/>
  <c r="C52" i="10"/>
  <c r="I53" i="10"/>
  <c r="D52" i="10" l="1"/>
  <c r="K53" i="10"/>
  <c r="L53" i="10" s="1"/>
  <c r="J54" i="10" s="1"/>
  <c r="E52" i="10"/>
  <c r="F52" i="10" s="1"/>
  <c r="C53" i="10"/>
  <c r="I54" i="10"/>
  <c r="D53" i="10" l="1"/>
  <c r="E53" i="10" s="1"/>
  <c r="F53" i="10" s="1"/>
  <c r="K54" i="10"/>
  <c r="L54" i="10" s="1"/>
  <c r="J55" i="10" s="1"/>
  <c r="C54" i="10"/>
  <c r="I55" i="10"/>
  <c r="D54" i="10" l="1"/>
  <c r="E54" i="10" s="1"/>
  <c r="F54" i="10" s="1"/>
  <c r="K55" i="10"/>
  <c r="L55" i="10" s="1"/>
  <c r="J56" i="10" s="1"/>
  <c r="C55" i="10"/>
  <c r="I56" i="10"/>
  <c r="D55" i="10" l="1"/>
  <c r="E55" i="10" s="1"/>
  <c r="F55" i="10" s="1"/>
  <c r="K56" i="10"/>
  <c r="L56" i="10" s="1"/>
  <c r="J57" i="10" s="1"/>
  <c r="C56" i="10"/>
  <c r="I57" i="10"/>
  <c r="D56" i="10" l="1"/>
  <c r="E56" i="10" s="1"/>
  <c r="F56" i="10" s="1"/>
  <c r="K57" i="10"/>
  <c r="L57" i="10" s="1"/>
  <c r="J58" i="10" s="1"/>
  <c r="C57" i="10"/>
  <c r="I58" i="10"/>
  <c r="D57" i="10" l="1"/>
  <c r="K58" i="10"/>
  <c r="L58" i="10" s="1"/>
  <c r="J59" i="10" s="1"/>
  <c r="C58" i="10"/>
  <c r="E57" i="10"/>
  <c r="F57" i="10" s="1"/>
  <c r="I59" i="10"/>
  <c r="K59" i="10" l="1"/>
  <c r="L59" i="10" s="1"/>
  <c r="J60" i="10" s="1"/>
  <c r="D58" i="10"/>
  <c r="E58" i="10" s="1"/>
  <c r="F58" i="10" s="1"/>
  <c r="I60" i="10"/>
  <c r="C59" i="10"/>
  <c r="D59" i="10" l="1"/>
  <c r="K60" i="10"/>
  <c r="L60" i="10" s="1"/>
  <c r="J61" i="10" s="1"/>
  <c r="E59" i="10"/>
  <c r="F59" i="10" s="1"/>
  <c r="C60" i="10"/>
  <c r="I61" i="10"/>
  <c r="K61" i="10" l="1"/>
  <c r="L61" i="10" s="1"/>
  <c r="J62" i="10" s="1"/>
  <c r="D60" i="10"/>
  <c r="I62" i="10"/>
  <c r="E60" i="10"/>
  <c r="F60" i="10" s="1"/>
  <c r="C61" i="10"/>
  <c r="D61" i="10" l="1"/>
  <c r="K62" i="10"/>
  <c r="L62" i="10" s="1"/>
  <c r="J63" i="10" s="1"/>
  <c r="E61" i="10"/>
  <c r="F61" i="10" s="1"/>
  <c r="C62" i="10"/>
  <c r="I63" i="10"/>
  <c r="K63" i="10" l="1"/>
  <c r="L63" i="10" s="1"/>
  <c r="J64" i="10" s="1"/>
  <c r="D62" i="10"/>
  <c r="E62" i="10" s="1"/>
  <c r="F62" i="10" s="1"/>
  <c r="I64" i="10"/>
  <c r="C63" i="10"/>
  <c r="D63" i="10" l="1"/>
  <c r="E63" i="10" s="1"/>
  <c r="F63" i="10" s="1"/>
  <c r="C64" i="10"/>
  <c r="K64" i="10"/>
  <c r="L64" i="10" s="1"/>
  <c r="J65" i="10" s="1"/>
  <c r="I65" i="10"/>
  <c r="K65" i="10" l="1"/>
  <c r="L65" i="10" s="1"/>
  <c r="J66" i="10" s="1"/>
  <c r="D64" i="10"/>
  <c r="E64" i="10" s="1"/>
  <c r="F64" i="10" s="1"/>
  <c r="I66" i="10"/>
  <c r="C65" i="10"/>
  <c r="D65" i="10" l="1"/>
  <c r="E65" i="10" s="1"/>
  <c r="F65" i="10" s="1"/>
  <c r="K66" i="10"/>
  <c r="L66" i="10" s="1"/>
  <c r="J67" i="10" s="1"/>
  <c r="C66" i="10"/>
  <c r="I67" i="10"/>
  <c r="K67" i="10" l="1"/>
  <c r="L67" i="10" s="1"/>
  <c r="J68" i="10" s="1"/>
  <c r="D66" i="10"/>
  <c r="E66" i="10" s="1"/>
  <c r="F66" i="10" s="1"/>
  <c r="I68" i="10"/>
  <c r="C67" i="10"/>
  <c r="D67" i="10" l="1"/>
  <c r="K68" i="10"/>
  <c r="L68" i="10" s="1"/>
  <c r="J69" i="10" s="1"/>
  <c r="E67" i="10"/>
  <c r="F67" i="10" s="1"/>
  <c r="C68" i="10"/>
  <c r="I69" i="10"/>
  <c r="D68" i="10" l="1"/>
  <c r="E68" i="10" s="1"/>
  <c r="F68" i="10" s="1"/>
  <c r="K69" i="10"/>
  <c r="L69" i="10" s="1"/>
  <c r="J70" i="10" s="1"/>
  <c r="C69" i="10"/>
  <c r="I70" i="10"/>
  <c r="D69" i="10" l="1"/>
  <c r="E69" i="10" s="1"/>
  <c r="F69" i="10" s="1"/>
  <c r="K70" i="10"/>
  <c r="L70" i="10" s="1"/>
  <c r="J71" i="10" s="1"/>
  <c r="C70" i="10"/>
  <c r="I71" i="10"/>
  <c r="D70" i="10" l="1"/>
  <c r="E70" i="10" s="1"/>
  <c r="F70" i="10" s="1"/>
  <c r="K71" i="10"/>
  <c r="L71" i="10" s="1"/>
  <c r="J72" i="10" s="1"/>
  <c r="C71" i="10"/>
  <c r="I72" i="10"/>
  <c r="K72" i="10" l="1"/>
  <c r="L72" i="10" s="1"/>
  <c r="J73" i="10" s="1"/>
  <c r="I73" i="10"/>
  <c r="C72" i="10"/>
  <c r="D71" i="10"/>
  <c r="E71" i="10" s="1"/>
  <c r="F71" i="10" s="1"/>
  <c r="D72" i="10" l="1"/>
  <c r="E72" i="10" s="1"/>
  <c r="F72" i="10" s="1"/>
  <c r="K73" i="10"/>
  <c r="L73" i="10" s="1"/>
  <c r="J74" i="10" s="1"/>
  <c r="I74" i="10"/>
  <c r="C73" i="10"/>
  <c r="D73" i="10" l="1"/>
  <c r="K74" i="10"/>
  <c r="L74" i="10" s="1"/>
  <c r="J75" i="10" s="1"/>
  <c r="I75" i="10"/>
  <c r="C74" i="10"/>
  <c r="E73" i="10"/>
  <c r="F73" i="10" s="1"/>
  <c r="D74" i="10" l="1"/>
  <c r="K75" i="10"/>
  <c r="L75" i="10" s="1"/>
  <c r="J76" i="10" s="1"/>
  <c r="I76" i="10"/>
  <c r="C75" i="10"/>
  <c r="E74" i="10"/>
  <c r="F74" i="10" s="1"/>
  <c r="D75" i="10" l="1"/>
  <c r="K76" i="10"/>
  <c r="L76" i="10" s="1"/>
  <c r="J77" i="10" s="1"/>
  <c r="E75" i="10"/>
  <c r="F75" i="10" s="1"/>
  <c r="C76" i="10"/>
  <c r="I77" i="10"/>
  <c r="D76" i="10" l="1"/>
  <c r="E76" i="10" s="1"/>
  <c r="F76" i="10" s="1"/>
  <c r="K77" i="10"/>
  <c r="L77" i="10" s="1"/>
  <c r="J78" i="10" s="1"/>
  <c r="C77" i="10"/>
  <c r="I78" i="10"/>
  <c r="D77" i="10" l="1"/>
  <c r="E77" i="10" s="1"/>
  <c r="F77" i="10" s="1"/>
  <c r="K78" i="10"/>
  <c r="L78" i="10" s="1"/>
  <c r="J79" i="10" s="1"/>
  <c r="C78" i="10"/>
  <c r="I79" i="10"/>
  <c r="D78" i="10" l="1"/>
  <c r="E78" i="10" s="1"/>
  <c r="F78" i="10" s="1"/>
  <c r="K79" i="10"/>
  <c r="L79" i="10" s="1"/>
  <c r="J80" i="10" s="1"/>
  <c r="C79" i="10"/>
  <c r="I80" i="10"/>
  <c r="D79" i="10" l="1"/>
  <c r="E79" i="10" s="1"/>
  <c r="F79" i="10" s="1"/>
  <c r="K80" i="10"/>
  <c r="L80" i="10" s="1"/>
  <c r="J81" i="10" s="1"/>
  <c r="C80" i="10"/>
  <c r="I81" i="10"/>
  <c r="D80" i="10" l="1"/>
  <c r="E80" i="10" s="1"/>
  <c r="F80" i="10" s="1"/>
  <c r="K81" i="10"/>
  <c r="L81" i="10" s="1"/>
  <c r="J82" i="10" s="1"/>
  <c r="C81" i="10"/>
  <c r="I82" i="10"/>
  <c r="K82" i="10" l="1"/>
  <c r="L82" i="10" s="1"/>
  <c r="J83" i="10" s="1"/>
  <c r="D81" i="10"/>
  <c r="E81" i="10" s="1"/>
  <c r="F81" i="10" s="1"/>
  <c r="I83" i="10"/>
  <c r="C82" i="10"/>
  <c r="D82" i="10" l="1"/>
  <c r="E82" i="10" s="1"/>
  <c r="F82" i="10" s="1"/>
  <c r="K83" i="10"/>
  <c r="L83" i="10" s="1"/>
  <c r="J84" i="10" s="1"/>
  <c r="C83" i="10"/>
  <c r="I84" i="10"/>
  <c r="K84" i="10" l="1"/>
  <c r="L84" i="10" s="1"/>
  <c r="J85" i="10" s="1"/>
  <c r="D83" i="10"/>
  <c r="E83" i="10" s="1"/>
  <c r="F83" i="10" s="1"/>
  <c r="I85" i="10"/>
  <c r="C84" i="10"/>
  <c r="D84" i="10" l="1"/>
  <c r="E84" i="10" s="1"/>
  <c r="F84" i="10" s="1"/>
  <c r="K85" i="10"/>
  <c r="L85" i="10" s="1"/>
  <c r="J86" i="10" s="1"/>
  <c r="C85" i="10"/>
  <c r="I86" i="10"/>
  <c r="K86" i="10" l="1"/>
  <c r="L86" i="10" s="1"/>
  <c r="J87" i="10" s="1"/>
  <c r="D85" i="10"/>
  <c r="E85" i="10" s="1"/>
  <c r="F85" i="10" s="1"/>
  <c r="I87" i="10"/>
  <c r="C86" i="10"/>
  <c r="D86" i="10" l="1"/>
  <c r="E86" i="10" s="1"/>
  <c r="F86" i="10" s="1"/>
  <c r="K87" i="10"/>
  <c r="L87" i="10" s="1"/>
  <c r="J88" i="10" s="1"/>
  <c r="C87" i="10"/>
  <c r="I88" i="10"/>
  <c r="K88" i="10" l="1"/>
  <c r="L88" i="10" s="1"/>
  <c r="J89" i="10" s="1"/>
  <c r="D87" i="10"/>
  <c r="E87" i="10" s="1"/>
  <c r="F87" i="10" s="1"/>
  <c r="I89" i="10"/>
  <c r="C88" i="10"/>
  <c r="D88" i="10" l="1"/>
  <c r="E88" i="10" s="1"/>
  <c r="F88" i="10" s="1"/>
  <c r="K89" i="10"/>
  <c r="L89" i="10" s="1"/>
  <c r="J90" i="10" s="1"/>
  <c r="C89" i="10"/>
  <c r="I90" i="10"/>
  <c r="K90" i="10" l="1"/>
  <c r="L90" i="10" s="1"/>
  <c r="J91" i="10" s="1"/>
  <c r="D89" i="10"/>
  <c r="E89" i="10" s="1"/>
  <c r="F89" i="10" s="1"/>
  <c r="I91" i="10"/>
  <c r="C90" i="10"/>
  <c r="D90" i="10" l="1"/>
  <c r="E90" i="10" s="1"/>
  <c r="F90" i="10" s="1"/>
  <c r="K91" i="10"/>
  <c r="L91" i="10" s="1"/>
  <c r="J92" i="10" s="1"/>
  <c r="C91" i="10"/>
  <c r="I92" i="10"/>
  <c r="K92" i="10" l="1"/>
  <c r="L92" i="10" s="1"/>
  <c r="J93" i="10" s="1"/>
  <c r="D91" i="10"/>
  <c r="E91" i="10" s="1"/>
  <c r="F91" i="10" s="1"/>
  <c r="I93" i="10"/>
  <c r="C92" i="10"/>
  <c r="D92" i="10" l="1"/>
  <c r="E92" i="10" s="1"/>
  <c r="F92" i="10" s="1"/>
  <c r="K93" i="10"/>
  <c r="L93" i="10" s="1"/>
  <c r="J94" i="10" s="1"/>
  <c r="C93" i="10"/>
  <c r="I94" i="10"/>
  <c r="K94" i="10" l="1"/>
  <c r="L94" i="10" s="1"/>
  <c r="J95" i="10" s="1"/>
  <c r="D93" i="10"/>
  <c r="E93" i="10" s="1"/>
  <c r="F93" i="10" s="1"/>
  <c r="I95" i="10"/>
  <c r="C94" i="10"/>
  <c r="D94" i="10" l="1"/>
  <c r="E94" i="10" s="1"/>
  <c r="F94" i="10" s="1"/>
  <c r="K95" i="10"/>
  <c r="L95" i="10" s="1"/>
  <c r="J96" i="10" s="1"/>
  <c r="C95" i="10"/>
  <c r="I96" i="10"/>
  <c r="K96" i="10" l="1"/>
  <c r="L96" i="10" s="1"/>
  <c r="J97" i="10" s="1"/>
  <c r="D95" i="10"/>
  <c r="E95" i="10" s="1"/>
  <c r="F95" i="10" s="1"/>
  <c r="I97" i="10"/>
  <c r="C96" i="10"/>
  <c r="D96" i="10" l="1"/>
  <c r="E96" i="10" s="1"/>
  <c r="F96" i="10" s="1"/>
  <c r="K97" i="10"/>
  <c r="L97" i="10" s="1"/>
  <c r="J98" i="10" s="1"/>
  <c r="I98" i="10"/>
  <c r="C97" i="10"/>
  <c r="D97" i="10" l="1"/>
  <c r="E97" i="10" s="1"/>
  <c r="F97" i="10" s="1"/>
  <c r="K98" i="10"/>
  <c r="L98" i="10" s="1"/>
  <c r="J99" i="10" s="1"/>
  <c r="I99" i="10"/>
  <c r="C98" i="10"/>
  <c r="K99" i="10" l="1"/>
  <c r="L99" i="10" s="1"/>
  <c r="J100" i="10" s="1"/>
  <c r="D98" i="10"/>
  <c r="E98" i="10" s="1"/>
  <c r="F98" i="10" s="1"/>
  <c r="I100" i="10"/>
  <c r="C99" i="10"/>
  <c r="D99" i="10" l="1"/>
  <c r="E99" i="10" s="1"/>
  <c r="F99" i="10" s="1"/>
  <c r="K100" i="10"/>
  <c r="L100" i="10" s="1"/>
  <c r="J101" i="10" s="1"/>
  <c r="I101" i="10"/>
  <c r="C100" i="10"/>
  <c r="K101" i="10" l="1"/>
  <c r="L101" i="10" s="1"/>
  <c r="J102" i="10" s="1"/>
  <c r="I102" i="10"/>
  <c r="C101" i="10"/>
  <c r="D100" i="10"/>
  <c r="E100" i="10" s="1"/>
  <c r="F100" i="10" s="1"/>
  <c r="D101" i="10" l="1"/>
  <c r="E101" i="10" s="1"/>
  <c r="F101" i="10" s="1"/>
  <c r="K102" i="10"/>
  <c r="L102" i="10" s="1"/>
  <c r="J103" i="10" s="1"/>
  <c r="I103" i="10"/>
  <c r="C102" i="10"/>
  <c r="D102" i="10" l="1"/>
  <c r="E102" i="10" s="1"/>
  <c r="F102" i="10" s="1"/>
  <c r="K103" i="10"/>
  <c r="L103" i="10" s="1"/>
  <c r="J104" i="10" s="1"/>
  <c r="C103" i="10"/>
  <c r="I104" i="10"/>
  <c r="D103" i="10" l="1"/>
  <c r="E103" i="10" s="1"/>
  <c r="F103" i="10" s="1"/>
  <c r="K104" i="10"/>
  <c r="L104" i="10" s="1"/>
  <c r="J105" i="10" s="1"/>
  <c r="C104" i="10"/>
  <c r="I105" i="10"/>
  <c r="K105" i="10" l="1"/>
  <c r="L105" i="10" s="1"/>
  <c r="J106" i="10" s="1"/>
  <c r="C105" i="10"/>
  <c r="D104" i="10"/>
  <c r="E104" i="10" s="1"/>
  <c r="F104" i="10" s="1"/>
  <c r="I106" i="10"/>
  <c r="K106" i="10" l="1"/>
  <c r="L106" i="10" s="1"/>
  <c r="J107" i="10" s="1"/>
  <c r="D105" i="10"/>
  <c r="E105" i="10" s="1"/>
  <c r="F105" i="10" s="1"/>
  <c r="C106" i="10"/>
  <c r="I107" i="10"/>
  <c r="D106" i="10" l="1"/>
  <c r="E106" i="10" s="1"/>
  <c r="F106" i="10" s="1"/>
  <c r="K107" i="10"/>
  <c r="L107" i="10" s="1"/>
  <c r="J108" i="10" s="1"/>
  <c r="I108" i="10"/>
  <c r="C107" i="10"/>
  <c r="D107" i="10" l="1"/>
  <c r="E107" i="10" s="1"/>
  <c r="F107" i="10" s="1"/>
  <c r="K108" i="10"/>
  <c r="L108" i="10" s="1"/>
  <c r="J109" i="10" s="1"/>
  <c r="C108" i="10"/>
  <c r="I109" i="10"/>
  <c r="D108" i="10" l="1"/>
  <c r="E108" i="10" s="1"/>
  <c r="F108" i="10" s="1"/>
  <c r="K109" i="10"/>
  <c r="L109" i="10" s="1"/>
  <c r="J110" i="10" s="1"/>
  <c r="C109" i="10"/>
  <c r="I110" i="10"/>
  <c r="D109" i="10" l="1"/>
  <c r="E109" i="10" s="1"/>
  <c r="F109" i="10" s="1"/>
  <c r="K110" i="10"/>
  <c r="L110" i="10" s="1"/>
  <c r="J111" i="10" s="1"/>
  <c r="C110" i="10"/>
  <c r="I111" i="10"/>
  <c r="D110" i="10" l="1"/>
  <c r="K111" i="10"/>
  <c r="L111" i="10" s="1"/>
  <c r="J112" i="10" s="1"/>
  <c r="E110" i="10"/>
  <c r="F110" i="10" s="1"/>
  <c r="C111" i="10"/>
  <c r="I112" i="10"/>
  <c r="D111" i="10" l="1"/>
  <c r="E111" i="10" s="1"/>
  <c r="F111" i="10" s="1"/>
  <c r="K112" i="10"/>
  <c r="L112" i="10" s="1"/>
  <c r="J113" i="10" s="1"/>
  <c r="I113" i="10"/>
  <c r="C112" i="10"/>
  <c r="D112" i="10" l="1"/>
  <c r="E112" i="10" s="1"/>
  <c r="F112" i="10" s="1"/>
  <c r="K113" i="10"/>
  <c r="L113" i="10" s="1"/>
  <c r="J114" i="10" s="1"/>
  <c r="I114" i="10"/>
  <c r="C113" i="10"/>
  <c r="D113" i="10" l="1"/>
  <c r="E113" i="10" s="1"/>
  <c r="F113" i="10" s="1"/>
  <c r="K114" i="10"/>
  <c r="L114" i="10" s="1"/>
  <c r="J115" i="10" s="1"/>
  <c r="I115" i="10"/>
  <c r="C114" i="10"/>
  <c r="K115" i="10" l="1"/>
  <c r="L115" i="10" s="1"/>
  <c r="J116" i="10" s="1"/>
  <c r="D114" i="10"/>
  <c r="E114" i="10" s="1"/>
  <c r="F114" i="10" s="1"/>
  <c r="I116" i="10"/>
  <c r="C115" i="10"/>
  <c r="K116" i="10" l="1"/>
  <c r="L116" i="10" s="1"/>
  <c r="J117" i="10" s="1"/>
  <c r="D115" i="10"/>
  <c r="E115" i="10" s="1"/>
  <c r="F115" i="10" s="1"/>
  <c r="I117" i="10"/>
  <c r="C116" i="10"/>
  <c r="K117" i="10" l="1"/>
  <c r="L117" i="10" s="1"/>
  <c r="J118" i="10" s="1"/>
  <c r="D116" i="10"/>
  <c r="E116" i="10" s="1"/>
  <c r="F116" i="10" s="1"/>
  <c r="I118" i="10"/>
  <c r="C117" i="10"/>
  <c r="K118" i="10" l="1"/>
  <c r="L118" i="10" s="1"/>
  <c r="J119" i="10" s="1"/>
  <c r="D117" i="10"/>
  <c r="E117" i="10" s="1"/>
  <c r="F117" i="10" s="1"/>
  <c r="I119" i="10"/>
  <c r="C118" i="10"/>
  <c r="K119" i="10" l="1"/>
  <c r="L119" i="10" s="1"/>
  <c r="J120" i="10" s="1"/>
  <c r="D118" i="10"/>
  <c r="E118" i="10" s="1"/>
  <c r="F118" i="10" s="1"/>
  <c r="I120" i="10"/>
  <c r="C119" i="10"/>
  <c r="K120" i="10" l="1"/>
  <c r="L120" i="10" s="1"/>
  <c r="J121" i="10" s="1"/>
  <c r="D119" i="10"/>
  <c r="E119" i="10" s="1"/>
  <c r="F119" i="10" s="1"/>
  <c r="C120" i="10"/>
  <c r="I121" i="10"/>
  <c r="D120" i="10" l="1"/>
  <c r="E120" i="10" s="1"/>
  <c r="F120" i="10" s="1"/>
  <c r="K121" i="10"/>
  <c r="L121" i="10" s="1"/>
  <c r="J122" i="10" s="1"/>
  <c r="I122" i="10"/>
  <c r="C121" i="10"/>
  <c r="K122" i="10" l="1"/>
  <c r="L122" i="10" s="1"/>
  <c r="J123" i="10" s="1"/>
  <c r="D121" i="10"/>
  <c r="E121" i="10" s="1"/>
  <c r="F121" i="10" s="1"/>
  <c r="C122" i="10"/>
  <c r="I123" i="10"/>
  <c r="K123" i="10" l="1"/>
  <c r="L123" i="10" s="1"/>
  <c r="J124" i="10" s="1"/>
  <c r="D122" i="10"/>
  <c r="E122" i="10" s="1"/>
  <c r="F122" i="10" s="1"/>
  <c r="I124" i="10"/>
  <c r="C123" i="10"/>
  <c r="D123" i="10" l="1"/>
  <c r="E123" i="10" s="1"/>
  <c r="F123" i="10" s="1"/>
  <c r="K124" i="10"/>
  <c r="L124" i="10" s="1"/>
  <c r="J125" i="10" s="1"/>
  <c r="C124" i="10"/>
  <c r="I125" i="10"/>
  <c r="K125" i="10" l="1"/>
  <c r="L125" i="10" s="1"/>
  <c r="J126" i="10" s="1"/>
  <c r="D124" i="10"/>
  <c r="E124" i="10" s="1"/>
  <c r="F124" i="10" s="1"/>
  <c r="I126" i="10"/>
  <c r="C125" i="10"/>
  <c r="D125" i="10" l="1"/>
  <c r="E125" i="10" s="1"/>
  <c r="F125" i="10" s="1"/>
  <c r="K126" i="10"/>
  <c r="L126" i="10" s="1"/>
  <c r="J127" i="10" s="1"/>
  <c r="C126" i="10"/>
  <c r="I127" i="10"/>
  <c r="D126" i="10" l="1"/>
  <c r="E126" i="10" s="1"/>
  <c r="F126" i="10" s="1"/>
  <c r="K127" i="10"/>
  <c r="L127" i="10" s="1"/>
  <c r="J128" i="10" s="1"/>
  <c r="I128" i="10"/>
  <c r="C127" i="10"/>
  <c r="D127" i="10" l="1"/>
  <c r="E127" i="10" s="1"/>
  <c r="F127" i="10" s="1"/>
  <c r="K128" i="10"/>
  <c r="L128" i="10" s="1"/>
  <c r="J129" i="10" s="1"/>
  <c r="C128" i="10"/>
  <c r="I129" i="10"/>
  <c r="K129" i="10" l="1"/>
  <c r="L129" i="10" s="1"/>
  <c r="J130" i="10" s="1"/>
  <c r="D128" i="10"/>
  <c r="E128" i="10" s="1"/>
  <c r="F128" i="10" s="1"/>
  <c r="I130" i="10"/>
  <c r="C129" i="10"/>
  <c r="K130" i="10" l="1"/>
  <c r="L130" i="10" s="1"/>
  <c r="J131" i="10" s="1"/>
  <c r="D129" i="10"/>
  <c r="E129" i="10" s="1"/>
  <c r="F129" i="10" s="1"/>
  <c r="I131" i="10"/>
  <c r="C130" i="10"/>
  <c r="K131" i="10" l="1"/>
  <c r="L131" i="10" s="1"/>
  <c r="J132" i="10" s="1"/>
  <c r="D130" i="10"/>
  <c r="E130" i="10" s="1"/>
  <c r="F130" i="10" s="1"/>
  <c r="I132" i="10"/>
  <c r="C131" i="10"/>
  <c r="K132" i="10" l="1"/>
  <c r="L132" i="10" s="1"/>
  <c r="J133" i="10" s="1"/>
  <c r="D131" i="10"/>
  <c r="E131" i="10" s="1"/>
  <c r="F131" i="10" s="1"/>
  <c r="I133" i="10"/>
  <c r="C132" i="10"/>
  <c r="K133" i="10" l="1"/>
  <c r="L133" i="10" s="1"/>
  <c r="J134" i="10" s="1"/>
  <c r="D132" i="10"/>
  <c r="E132" i="10"/>
  <c r="F132" i="10" s="1"/>
  <c r="C133" i="10"/>
  <c r="I134" i="10"/>
  <c r="D133" i="10" l="1"/>
  <c r="E133" i="10" s="1"/>
  <c r="F133" i="10" s="1"/>
  <c r="C134" i="10"/>
  <c r="I135" i="10"/>
  <c r="K134" i="10"/>
  <c r="L134" i="10" s="1"/>
  <c r="J135" i="10" s="1"/>
  <c r="K135" i="10" l="1"/>
  <c r="L135" i="10" s="1"/>
  <c r="J136" i="10" s="1"/>
  <c r="D134" i="10"/>
  <c r="E134" i="10" s="1"/>
  <c r="F134" i="10" s="1"/>
  <c r="C135" i="10"/>
  <c r="I136" i="10"/>
  <c r="K136" i="10" l="1"/>
  <c r="L136" i="10" s="1"/>
  <c r="J137" i="10" s="1"/>
  <c r="D135" i="10"/>
  <c r="E135" i="10" s="1"/>
  <c r="F135" i="10" s="1"/>
  <c r="I137" i="10"/>
  <c r="C136" i="10"/>
  <c r="K137" i="10" l="1"/>
  <c r="L137" i="10" s="1"/>
  <c r="J138" i="10" s="1"/>
  <c r="D136" i="10"/>
  <c r="E136" i="10" s="1"/>
  <c r="F136" i="10" s="1"/>
  <c r="C137" i="10"/>
  <c r="I138" i="10"/>
  <c r="K138" i="10" l="1"/>
  <c r="L138" i="10" s="1"/>
  <c r="J139" i="10" s="1"/>
  <c r="D137" i="10"/>
  <c r="E137" i="10" s="1"/>
  <c r="F137" i="10" s="1"/>
  <c r="I139" i="10"/>
  <c r="C138" i="10"/>
  <c r="D138" i="10" l="1"/>
  <c r="E138" i="10" s="1"/>
  <c r="F138" i="10" s="1"/>
  <c r="K139" i="10"/>
  <c r="L139" i="10" s="1"/>
  <c r="J140" i="10" s="1"/>
  <c r="C139" i="10"/>
  <c r="I140" i="10"/>
  <c r="D139" i="10" l="1"/>
  <c r="K140" i="10"/>
  <c r="L140" i="10" s="1"/>
  <c r="J141" i="10" s="1"/>
  <c r="E139" i="10"/>
  <c r="F139" i="10" s="1"/>
  <c r="C140" i="10"/>
  <c r="I141" i="10"/>
  <c r="D140" i="10" l="1"/>
  <c r="E140" i="10" s="1"/>
  <c r="F140" i="10" s="1"/>
  <c r="K141" i="10"/>
  <c r="L141" i="10" s="1"/>
  <c r="J142" i="10" s="1"/>
  <c r="I142" i="10"/>
  <c r="C141" i="10"/>
  <c r="D141" i="10" l="1"/>
  <c r="K142" i="10"/>
  <c r="L142" i="10" s="1"/>
  <c r="J143" i="10" s="1"/>
  <c r="E141" i="10"/>
  <c r="F141" i="10" s="1"/>
  <c r="C142" i="10"/>
  <c r="I143" i="10"/>
  <c r="D142" i="10" l="1"/>
  <c r="E142" i="10" s="1"/>
  <c r="F142" i="10" s="1"/>
  <c r="K143" i="10"/>
  <c r="L143" i="10" s="1"/>
  <c r="J144" i="10" s="1"/>
  <c r="I144" i="10"/>
  <c r="C143" i="10"/>
  <c r="K144" i="10" l="1"/>
  <c r="L144" i="10" s="1"/>
  <c r="J145" i="10" s="1"/>
  <c r="D143" i="10"/>
  <c r="E143" i="10" s="1"/>
  <c r="F143" i="10" s="1"/>
  <c r="C144" i="10"/>
  <c r="I145" i="10"/>
  <c r="D144" i="10" l="1"/>
  <c r="E144" i="10" s="1"/>
  <c r="F144" i="10" s="1"/>
  <c r="K145" i="10"/>
  <c r="L145" i="10" s="1"/>
  <c r="J146" i="10" s="1"/>
  <c r="I146" i="10"/>
  <c r="C145" i="10"/>
  <c r="D145" i="10" l="1"/>
  <c r="E145" i="10" s="1"/>
  <c r="F145" i="10" s="1"/>
  <c r="K146" i="10"/>
  <c r="L146" i="10" s="1"/>
  <c r="J147" i="10" s="1"/>
  <c r="I147" i="10"/>
  <c r="C146" i="10"/>
  <c r="K147" i="10" l="1"/>
  <c r="L147" i="10" s="1"/>
  <c r="J148" i="10" s="1"/>
  <c r="D146" i="10"/>
  <c r="E146" i="10" s="1"/>
  <c r="F146" i="10" s="1"/>
  <c r="C147" i="10"/>
  <c r="I148" i="10"/>
  <c r="K148" i="10" l="1"/>
  <c r="L148" i="10" s="1"/>
  <c r="J149" i="10" s="1"/>
  <c r="D147" i="10"/>
  <c r="C148" i="10"/>
  <c r="E147" i="10"/>
  <c r="F147" i="10" s="1"/>
  <c r="I149" i="10"/>
  <c r="K149" i="10" l="1"/>
  <c r="L149" i="10" s="1"/>
  <c r="J150" i="10" s="1"/>
  <c r="D148" i="10"/>
  <c r="E148" i="10" s="1"/>
  <c r="F148" i="10" s="1"/>
  <c r="C149" i="10"/>
  <c r="I150" i="10"/>
  <c r="K150" i="10" l="1"/>
  <c r="L150" i="10" s="1"/>
  <c r="J151" i="10" s="1"/>
  <c r="D149" i="10"/>
  <c r="E149" i="10" s="1"/>
  <c r="F149" i="10" s="1"/>
  <c r="I151" i="10"/>
  <c r="C150" i="10"/>
  <c r="K151" i="10" l="1"/>
  <c r="L151" i="10" s="1"/>
  <c r="J152" i="10" s="1"/>
  <c r="D150" i="10"/>
  <c r="E150" i="10" s="1"/>
  <c r="F150" i="10" s="1"/>
  <c r="I152" i="10"/>
  <c r="C151" i="10"/>
  <c r="K152" i="10" l="1"/>
  <c r="L152" i="10" s="1"/>
  <c r="J153" i="10" s="1"/>
  <c r="D151" i="10"/>
  <c r="E151" i="10" s="1"/>
  <c r="F151" i="10" s="1"/>
  <c r="I153" i="10"/>
  <c r="C152" i="10"/>
  <c r="D152" i="10" l="1"/>
  <c r="E152" i="10" s="1"/>
  <c r="F152" i="10" s="1"/>
  <c r="K153" i="10"/>
  <c r="L153" i="10" s="1"/>
  <c r="J154" i="10" s="1"/>
  <c r="I154" i="10"/>
  <c r="C153" i="10"/>
  <c r="K154" i="10" l="1"/>
  <c r="L154" i="10" s="1"/>
  <c r="J155" i="10" s="1"/>
  <c r="D153" i="10"/>
  <c r="E153" i="10" s="1"/>
  <c r="F153" i="10" s="1"/>
  <c r="I155" i="10"/>
  <c r="C154" i="10"/>
  <c r="D154" i="10" l="1"/>
  <c r="E154" i="10" s="1"/>
  <c r="F154" i="10" s="1"/>
  <c r="K155" i="10"/>
  <c r="L155" i="10" s="1"/>
  <c r="J156" i="10" s="1"/>
  <c r="C155" i="10"/>
  <c r="I156" i="10"/>
  <c r="D155" i="10" l="1"/>
  <c r="E155" i="10"/>
  <c r="F155" i="10" s="1"/>
  <c r="C156" i="10"/>
  <c r="I157" i="10"/>
  <c r="K156" i="10"/>
  <c r="L156" i="10" s="1"/>
  <c r="J157" i="10" s="1"/>
  <c r="K157" i="10" l="1"/>
  <c r="L157" i="10" s="1"/>
  <c r="J158" i="10" s="1"/>
  <c r="D156" i="10"/>
  <c r="E156" i="10" s="1"/>
  <c r="F156" i="10" s="1"/>
  <c r="C157" i="10"/>
  <c r="I158" i="10"/>
  <c r="K158" i="10" l="1"/>
  <c r="L158" i="10" s="1"/>
  <c r="J159" i="10" s="1"/>
  <c r="D157" i="10"/>
  <c r="E157" i="10" s="1"/>
  <c r="F157" i="10" s="1"/>
  <c r="C158" i="10"/>
  <c r="I159" i="10"/>
  <c r="K159" i="10" l="1"/>
  <c r="L159" i="10" s="1"/>
  <c r="J160" i="10" s="1"/>
  <c r="D158" i="10"/>
  <c r="E158" i="10" s="1"/>
  <c r="F158" i="10" s="1"/>
  <c r="C159" i="10"/>
  <c r="I160" i="10"/>
  <c r="K160" i="10" l="1"/>
  <c r="L160" i="10" s="1"/>
  <c r="J161" i="10" s="1"/>
  <c r="D159" i="10"/>
  <c r="E159" i="10" s="1"/>
  <c r="F159" i="10" s="1"/>
  <c r="C160" i="10"/>
  <c r="I161" i="10"/>
  <c r="K161" i="10" l="1"/>
  <c r="L161" i="10" s="1"/>
  <c r="J162" i="10" s="1"/>
  <c r="D160" i="10"/>
  <c r="E160" i="10" s="1"/>
  <c r="F160" i="10" s="1"/>
  <c r="I162" i="10"/>
  <c r="C161" i="10"/>
  <c r="K162" i="10" l="1"/>
  <c r="L162" i="10" s="1"/>
  <c r="J163" i="10" s="1"/>
  <c r="D161" i="10"/>
  <c r="E161" i="10" s="1"/>
  <c r="F161" i="10" s="1"/>
  <c r="C162" i="10"/>
  <c r="I163" i="10"/>
  <c r="K163" i="10" l="1"/>
  <c r="L163" i="10" s="1"/>
  <c r="J164" i="10" s="1"/>
  <c r="D162" i="10"/>
  <c r="E162" i="10" s="1"/>
  <c r="F162" i="10" s="1"/>
  <c r="C163" i="10"/>
  <c r="I164" i="10"/>
  <c r="D163" i="10" l="1"/>
  <c r="K164" i="10"/>
  <c r="L164" i="10" s="1"/>
  <c r="J165" i="10" s="1"/>
  <c r="E163" i="10"/>
  <c r="F163" i="10" s="1"/>
  <c r="C164" i="10"/>
  <c r="I165" i="10"/>
  <c r="K165" i="10" l="1"/>
  <c r="L165" i="10" s="1"/>
  <c r="J166" i="10" s="1"/>
  <c r="D164" i="10"/>
  <c r="E164" i="10" s="1"/>
  <c r="F164" i="10" s="1"/>
  <c r="C165" i="10"/>
  <c r="I166" i="10"/>
  <c r="K166" i="10" l="1"/>
  <c r="L166" i="10" s="1"/>
  <c r="J167" i="10" s="1"/>
  <c r="D165" i="10"/>
  <c r="E165" i="10" s="1"/>
  <c r="F165" i="10" s="1"/>
  <c r="I167" i="10"/>
  <c r="C166" i="10"/>
  <c r="K167" i="10" l="1"/>
  <c r="L167" i="10" s="1"/>
  <c r="J168" i="10" s="1"/>
  <c r="I168" i="10"/>
  <c r="D166" i="10"/>
  <c r="E166" i="10" s="1"/>
  <c r="F166" i="10" s="1"/>
  <c r="C167" i="10"/>
  <c r="D167" i="10" l="1"/>
  <c r="E167" i="10" s="1"/>
  <c r="F167" i="10" s="1"/>
  <c r="K168" i="10"/>
  <c r="L168" i="10" s="1"/>
  <c r="J169" i="10" s="1"/>
  <c r="C168" i="10"/>
  <c r="I169" i="10"/>
  <c r="D168" i="10" l="1"/>
  <c r="E168" i="10" s="1"/>
  <c r="F168" i="10" s="1"/>
  <c r="K169" i="10"/>
  <c r="L169" i="10" s="1"/>
  <c r="J170" i="10" s="1"/>
  <c r="C169" i="10"/>
  <c r="I170" i="10"/>
  <c r="K170" i="10" l="1"/>
  <c r="L170" i="10" s="1"/>
  <c r="J171" i="10" s="1"/>
  <c r="D169" i="10"/>
  <c r="E169" i="10" s="1"/>
  <c r="F169" i="10" s="1"/>
  <c r="I171" i="10"/>
  <c r="C170" i="10"/>
  <c r="K171" i="10" l="1"/>
  <c r="L171" i="10" s="1"/>
  <c r="J172" i="10" s="1"/>
  <c r="D170" i="10"/>
  <c r="E170" i="10" s="1"/>
  <c r="F170" i="10" s="1"/>
  <c r="I172" i="10"/>
  <c r="C171" i="10"/>
  <c r="K172" i="10" l="1"/>
  <c r="L172" i="10" s="1"/>
  <c r="J173" i="10" s="1"/>
  <c r="D171" i="10"/>
  <c r="E171" i="10" s="1"/>
  <c r="F171" i="10" s="1"/>
  <c r="I173" i="10"/>
  <c r="C172" i="10"/>
  <c r="D172" i="10" l="1"/>
  <c r="E172" i="10" s="1"/>
  <c r="F172" i="10" s="1"/>
  <c r="K173" i="10"/>
  <c r="L173" i="10" s="1"/>
  <c r="J174" i="10" s="1"/>
  <c r="I174" i="10"/>
  <c r="C173" i="10"/>
  <c r="D173" i="10" l="1"/>
  <c r="E173" i="10" s="1"/>
  <c r="F173" i="10" s="1"/>
  <c r="K174" i="10"/>
  <c r="L174" i="10" s="1"/>
  <c r="J175" i="10" s="1"/>
  <c r="I175" i="10"/>
  <c r="C174" i="10"/>
  <c r="D174" i="10" l="1"/>
  <c r="E174" i="10" s="1"/>
  <c r="F174" i="10" s="1"/>
  <c r="K175" i="10"/>
  <c r="L175" i="10" s="1"/>
  <c r="J176" i="10" s="1"/>
  <c r="I176" i="10"/>
  <c r="C175" i="10"/>
  <c r="D175" i="10" l="1"/>
  <c r="E175" i="10" s="1"/>
  <c r="F175" i="10" s="1"/>
  <c r="K176" i="10"/>
  <c r="L176" i="10" s="1"/>
  <c r="J177" i="10" s="1"/>
  <c r="I177" i="10"/>
  <c r="C176" i="10"/>
  <c r="D176" i="10" l="1"/>
  <c r="E176" i="10" s="1"/>
  <c r="F176" i="10" s="1"/>
  <c r="K177" i="10"/>
  <c r="L177" i="10" s="1"/>
  <c r="J178" i="10" s="1"/>
  <c r="I178" i="10"/>
  <c r="C177" i="10"/>
  <c r="D177" i="10" l="1"/>
  <c r="K178" i="10"/>
  <c r="L178" i="10" s="1"/>
  <c r="J179" i="10" s="1"/>
  <c r="E177" i="10"/>
  <c r="F177" i="10" s="1"/>
  <c r="C178" i="10"/>
  <c r="I179" i="10"/>
  <c r="D178" i="10" l="1"/>
  <c r="E178" i="10" s="1"/>
  <c r="F178" i="10" s="1"/>
  <c r="K179" i="10"/>
  <c r="L179" i="10" s="1"/>
  <c r="J180" i="10" s="1"/>
  <c r="I180" i="10"/>
  <c r="C179" i="10"/>
  <c r="D179" i="10" l="1"/>
  <c r="E179" i="10" s="1"/>
  <c r="F179" i="10" s="1"/>
  <c r="K180" i="10"/>
  <c r="L180" i="10" s="1"/>
  <c r="J181" i="10" s="1"/>
  <c r="I181" i="10"/>
  <c r="C180" i="10"/>
  <c r="D180" i="10" l="1"/>
  <c r="E180" i="10" s="1"/>
  <c r="F180" i="10" s="1"/>
  <c r="K181" i="10"/>
  <c r="L181" i="10" s="1"/>
  <c r="J182" i="10" s="1"/>
  <c r="C181" i="10"/>
  <c r="I182" i="10"/>
  <c r="D181" i="10" l="1"/>
  <c r="E181" i="10" s="1"/>
  <c r="F181" i="10" s="1"/>
  <c r="K182" i="10"/>
  <c r="L182" i="10" s="1"/>
  <c r="J183" i="10" s="1"/>
  <c r="C182" i="10"/>
  <c r="I183" i="10"/>
  <c r="K183" i="10" l="1"/>
  <c r="L183" i="10" s="1"/>
  <c r="J184" i="10" s="1"/>
  <c r="D182" i="10"/>
  <c r="E182" i="10" s="1"/>
  <c r="F182" i="10" s="1"/>
  <c r="I184" i="10"/>
  <c r="C183" i="10"/>
  <c r="K184" i="10" l="1"/>
  <c r="L184" i="10" s="1"/>
  <c r="J185" i="10" s="1"/>
  <c r="D183" i="10"/>
  <c r="E183" i="10" s="1"/>
  <c r="F183" i="10" s="1"/>
  <c r="C184" i="10"/>
  <c r="I185" i="10"/>
  <c r="K185" i="10" l="1"/>
  <c r="L185" i="10" s="1"/>
  <c r="J186" i="10" s="1"/>
  <c r="D184" i="10"/>
  <c r="E184" i="10" s="1"/>
  <c r="F184" i="10" s="1"/>
  <c r="C185" i="10"/>
  <c r="I186" i="10"/>
  <c r="K186" i="10" l="1"/>
  <c r="L186" i="10" s="1"/>
  <c r="J187" i="10" s="1"/>
  <c r="D185" i="10"/>
  <c r="E185" i="10" s="1"/>
  <c r="F185" i="10" s="1"/>
  <c r="C186" i="10"/>
  <c r="I187" i="10"/>
  <c r="K187" i="10" l="1"/>
  <c r="L187" i="10" s="1"/>
  <c r="J188" i="10" s="1"/>
  <c r="D186" i="10"/>
  <c r="E186" i="10" s="1"/>
  <c r="F186" i="10" s="1"/>
  <c r="I188" i="10"/>
  <c r="C187" i="10"/>
  <c r="K188" i="10" l="1"/>
  <c r="L188" i="10" s="1"/>
  <c r="J189" i="10" s="1"/>
  <c r="D187" i="10"/>
  <c r="E187" i="10" s="1"/>
  <c r="F187" i="10" s="1"/>
  <c r="C188" i="10"/>
  <c r="I189" i="10"/>
  <c r="K189" i="10" l="1"/>
  <c r="L189" i="10" s="1"/>
  <c r="J190" i="10" s="1"/>
  <c r="D188" i="10"/>
  <c r="E188" i="10" s="1"/>
  <c r="F188" i="10" s="1"/>
  <c r="I190" i="10"/>
  <c r="C189" i="10"/>
  <c r="D189" i="10" l="1"/>
  <c r="E189" i="10" s="1"/>
  <c r="F189" i="10" s="1"/>
  <c r="K190" i="10"/>
  <c r="L190" i="10" s="1"/>
  <c r="J191" i="10" s="1"/>
  <c r="I191" i="10"/>
  <c r="C190" i="10"/>
  <c r="K191" i="10" l="1"/>
  <c r="L191" i="10" s="1"/>
  <c r="J192" i="10" s="1"/>
  <c r="D190" i="10"/>
  <c r="E190" i="10" s="1"/>
  <c r="F190" i="10" s="1"/>
  <c r="I192" i="10"/>
  <c r="C191" i="10"/>
  <c r="D191" i="10" l="1"/>
  <c r="E191" i="10" s="1"/>
  <c r="F191" i="10" s="1"/>
  <c r="K192" i="10"/>
  <c r="L192" i="10" s="1"/>
  <c r="J193" i="10" s="1"/>
  <c r="I193" i="10"/>
  <c r="C192" i="10"/>
  <c r="K193" i="10" l="1"/>
  <c r="L193" i="10" s="1"/>
  <c r="J194" i="10" s="1"/>
  <c r="D192" i="10"/>
  <c r="E192" i="10" s="1"/>
  <c r="F192" i="10" s="1"/>
  <c r="I194" i="10"/>
  <c r="C193" i="10"/>
  <c r="D193" i="10" l="1"/>
  <c r="E193" i="10" s="1"/>
  <c r="F193" i="10" s="1"/>
  <c r="K194" i="10"/>
  <c r="L194" i="10" s="1"/>
  <c r="J195" i="10" s="1"/>
  <c r="I195" i="10"/>
  <c r="C194" i="10"/>
  <c r="D194" i="10" l="1"/>
  <c r="E194" i="10" s="1"/>
  <c r="F194" i="10" s="1"/>
  <c r="K195" i="10"/>
  <c r="L195" i="10" s="1"/>
  <c r="J196" i="10" s="1"/>
  <c r="I196" i="10"/>
  <c r="C195" i="10"/>
  <c r="K196" i="10" l="1"/>
  <c r="L196" i="10" s="1"/>
  <c r="J197" i="10" s="1"/>
  <c r="D195" i="10"/>
  <c r="E195" i="10" s="1"/>
  <c r="F195" i="10" s="1"/>
  <c r="I197" i="10"/>
  <c r="C196" i="10"/>
  <c r="K197" i="10" l="1"/>
  <c r="L197" i="10" s="1"/>
  <c r="J198" i="10" s="1"/>
  <c r="D196" i="10"/>
  <c r="E196" i="10" s="1"/>
  <c r="F196" i="10" s="1"/>
  <c r="I198" i="10"/>
  <c r="C197" i="10"/>
  <c r="D197" i="10" l="1"/>
  <c r="E197" i="10" s="1"/>
  <c r="F197" i="10" s="1"/>
  <c r="K198" i="10"/>
  <c r="L198" i="10" s="1"/>
  <c r="J199" i="10" s="1"/>
  <c r="I199" i="10"/>
  <c r="C198" i="10"/>
  <c r="K199" i="10" l="1"/>
  <c r="L199" i="10" s="1"/>
  <c r="J200" i="10" s="1"/>
  <c r="D198" i="10"/>
  <c r="E198" i="10" s="1"/>
  <c r="F198" i="10" s="1"/>
  <c r="C199" i="10"/>
  <c r="I200" i="10"/>
  <c r="K200" i="10" l="1"/>
  <c r="L200" i="10" s="1"/>
  <c r="J201" i="10" s="1"/>
  <c r="D199" i="10"/>
  <c r="E199" i="10" s="1"/>
  <c r="F199" i="10" s="1"/>
  <c r="I201" i="10"/>
  <c r="C200" i="10"/>
  <c r="K201" i="10" l="1"/>
  <c r="L201" i="10" s="1"/>
  <c r="J202" i="10" s="1"/>
  <c r="D200" i="10"/>
  <c r="E200" i="10"/>
  <c r="F200" i="10" s="1"/>
  <c r="C201" i="10"/>
  <c r="I202" i="10"/>
  <c r="K202" i="10" l="1"/>
  <c r="L202" i="10" s="1"/>
  <c r="J203" i="10" s="1"/>
  <c r="D201" i="10"/>
  <c r="E201" i="10" s="1"/>
  <c r="F201" i="10" s="1"/>
  <c r="C202" i="10"/>
  <c r="I203" i="10"/>
  <c r="K203" i="10" l="1"/>
  <c r="L203" i="10" s="1"/>
  <c r="J204" i="10" s="1"/>
  <c r="D202" i="10"/>
  <c r="E202" i="10" s="1"/>
  <c r="F202" i="10" s="1"/>
  <c r="C203" i="10"/>
  <c r="I204" i="10"/>
  <c r="K204" i="10" l="1"/>
  <c r="L204" i="10" s="1"/>
  <c r="J205" i="10" s="1"/>
  <c r="D203" i="10"/>
  <c r="E203" i="10" s="1"/>
  <c r="F203" i="10" s="1"/>
  <c r="C204" i="10"/>
  <c r="I205" i="10"/>
  <c r="K205" i="10" l="1"/>
  <c r="L205" i="10" s="1"/>
  <c r="J206" i="10" s="1"/>
  <c r="D204" i="10"/>
  <c r="E204" i="10" s="1"/>
  <c r="F204" i="10" s="1"/>
  <c r="C205" i="10"/>
  <c r="I206" i="10"/>
  <c r="K206" i="10" l="1"/>
  <c r="L206" i="10" s="1"/>
  <c r="J207" i="10" s="1"/>
  <c r="D205" i="10"/>
  <c r="E205" i="10" s="1"/>
  <c r="F205" i="10" s="1"/>
  <c r="I207" i="10"/>
  <c r="C206" i="10"/>
  <c r="D206" i="10" l="1"/>
  <c r="E206" i="10" s="1"/>
  <c r="F206" i="10" s="1"/>
  <c r="K207" i="10"/>
  <c r="L207" i="10" s="1"/>
  <c r="J208" i="10" s="1"/>
  <c r="I208" i="10"/>
  <c r="C207" i="10"/>
  <c r="D207" i="10" l="1"/>
  <c r="E207" i="10" s="1"/>
  <c r="F207" i="10" s="1"/>
  <c r="K208" i="10"/>
  <c r="L208" i="10" s="1"/>
  <c r="J209" i="10" s="1"/>
  <c r="I209" i="10"/>
  <c r="C208" i="10"/>
  <c r="D208" i="10" l="1"/>
  <c r="E208" i="10" s="1"/>
  <c r="F208" i="10" s="1"/>
  <c r="K209" i="10"/>
  <c r="L209" i="10" s="1"/>
  <c r="J210" i="10" s="1"/>
  <c r="I210" i="10"/>
  <c r="C209" i="10"/>
  <c r="D209" i="10" l="1"/>
  <c r="E209" i="10" s="1"/>
  <c r="F209" i="10" s="1"/>
  <c r="K210" i="10"/>
  <c r="L210" i="10" s="1"/>
  <c r="J211" i="10" s="1"/>
  <c r="I211" i="10"/>
  <c r="C210" i="10"/>
  <c r="D210" i="10" l="1"/>
  <c r="E210" i="10" s="1"/>
  <c r="F210" i="10" s="1"/>
  <c r="K211" i="10"/>
  <c r="L211" i="10" s="1"/>
  <c r="J212" i="10" s="1"/>
  <c r="I212" i="10"/>
  <c r="C211" i="10"/>
  <c r="K212" i="10" l="1"/>
  <c r="L212" i="10" s="1"/>
  <c r="J213" i="10" s="1"/>
  <c r="D211" i="10"/>
  <c r="E211" i="10" s="1"/>
  <c r="F211" i="10" s="1"/>
  <c r="I213" i="10"/>
  <c r="C212" i="10"/>
  <c r="D212" i="10" l="1"/>
  <c r="E212" i="10" s="1"/>
  <c r="F212" i="10" s="1"/>
  <c r="K213" i="10"/>
  <c r="L213" i="10" s="1"/>
  <c r="J214" i="10" s="1"/>
  <c r="C213" i="10"/>
  <c r="I214" i="10"/>
  <c r="K214" i="10" l="1"/>
  <c r="L214" i="10" s="1"/>
  <c r="J215" i="10" s="1"/>
  <c r="D213" i="10"/>
  <c r="E213" i="10" s="1"/>
  <c r="F213" i="10" s="1"/>
  <c r="I215" i="10"/>
  <c r="C214" i="10"/>
  <c r="D214" i="10" l="1"/>
  <c r="E214" i="10" s="1"/>
  <c r="F214" i="10" s="1"/>
  <c r="K215" i="10"/>
  <c r="L215" i="10" s="1"/>
  <c r="J216" i="10" s="1"/>
  <c r="I216" i="10"/>
  <c r="C215" i="10"/>
  <c r="K216" i="10" l="1"/>
  <c r="L216" i="10" s="1"/>
  <c r="J217" i="10" s="1"/>
  <c r="D215" i="10"/>
  <c r="E215" i="10" s="1"/>
  <c r="F215" i="10" s="1"/>
  <c r="C216" i="10"/>
  <c r="I217" i="10"/>
  <c r="D216" i="10" l="1"/>
  <c r="E216" i="10" s="1"/>
  <c r="F216" i="10" s="1"/>
  <c r="K217" i="10"/>
  <c r="L217" i="10" s="1"/>
  <c r="J218" i="10" s="1"/>
  <c r="C217" i="10"/>
  <c r="I218" i="10"/>
  <c r="D217" i="10" l="1"/>
  <c r="E217" i="10" s="1"/>
  <c r="F217" i="10" s="1"/>
  <c r="K218" i="10"/>
  <c r="L218" i="10" s="1"/>
  <c r="J219" i="10" s="1"/>
  <c r="C218" i="10"/>
  <c r="I219" i="10"/>
  <c r="D218" i="10" l="1"/>
  <c r="E218" i="10" s="1"/>
  <c r="F218" i="10" s="1"/>
  <c r="K219" i="10"/>
  <c r="L219" i="10" s="1"/>
  <c r="J220" i="10" s="1"/>
  <c r="I220" i="10"/>
  <c r="C219" i="10"/>
  <c r="D219" i="10" l="1"/>
  <c r="E219" i="10" s="1"/>
  <c r="F219" i="10" s="1"/>
  <c r="K220" i="10"/>
  <c r="L220" i="10" s="1"/>
  <c r="J221" i="10" s="1"/>
  <c r="C220" i="10"/>
  <c r="I221" i="10"/>
  <c r="D220" i="10" l="1"/>
  <c r="E220" i="10" s="1"/>
  <c r="F220" i="10" s="1"/>
  <c r="K221" i="10"/>
  <c r="L221" i="10" s="1"/>
  <c r="J222" i="10" s="1"/>
  <c r="I222" i="10"/>
  <c r="C221" i="10"/>
  <c r="D221" i="10" l="1"/>
  <c r="E221" i="10" s="1"/>
  <c r="F221" i="10" s="1"/>
  <c r="K222" i="10"/>
  <c r="L222" i="10" s="1"/>
  <c r="J223" i="10" s="1"/>
  <c r="C222" i="10"/>
  <c r="I223" i="10"/>
  <c r="D222" i="10" l="1"/>
  <c r="E222" i="10" s="1"/>
  <c r="F222" i="10" s="1"/>
  <c r="K223" i="10"/>
  <c r="L223" i="10" s="1"/>
  <c r="J224" i="10" s="1"/>
  <c r="I224" i="10"/>
  <c r="C223" i="10"/>
  <c r="D223" i="10" l="1"/>
  <c r="E223" i="10" s="1"/>
  <c r="F223" i="10" s="1"/>
  <c r="K224" i="10"/>
  <c r="L224" i="10" s="1"/>
  <c r="J225" i="10" s="1"/>
  <c r="C224" i="10"/>
  <c r="I225" i="10"/>
  <c r="D224" i="10" l="1"/>
  <c r="E224" i="10" s="1"/>
  <c r="F224" i="10" s="1"/>
  <c r="K225" i="10"/>
  <c r="L225" i="10" s="1"/>
  <c r="J226" i="10" s="1"/>
  <c r="I226" i="10"/>
  <c r="C225" i="10"/>
  <c r="D225" i="10" l="1"/>
  <c r="E225" i="10" s="1"/>
  <c r="F225" i="10" s="1"/>
  <c r="K226" i="10"/>
  <c r="L226" i="10" s="1"/>
  <c r="J227" i="10" s="1"/>
  <c r="C226" i="10"/>
  <c r="I227" i="10"/>
  <c r="K227" i="10" l="1"/>
  <c r="L227" i="10" s="1"/>
  <c r="J228" i="10" s="1"/>
  <c r="D226" i="10"/>
  <c r="E226" i="10" s="1"/>
  <c r="F226" i="10" s="1"/>
  <c r="I228" i="10"/>
  <c r="C227" i="10"/>
  <c r="D227" i="10" l="1"/>
  <c r="E227" i="10" s="1"/>
  <c r="F227" i="10" s="1"/>
  <c r="I229" i="10"/>
  <c r="C228" i="10"/>
  <c r="K228" i="10"/>
  <c r="L228" i="10" s="1"/>
  <c r="J229" i="10" s="1"/>
  <c r="K229" i="10" l="1"/>
  <c r="L229" i="10" s="1"/>
  <c r="J230" i="10" s="1"/>
  <c r="D228" i="10"/>
  <c r="E228" i="10" s="1"/>
  <c r="F228" i="10" s="1"/>
  <c r="I230" i="10"/>
  <c r="C229" i="10"/>
  <c r="K230" i="10" l="1"/>
  <c r="L230" i="10" s="1"/>
  <c r="J231" i="10" s="1"/>
  <c r="D229" i="10"/>
  <c r="E229" i="10" s="1"/>
  <c r="F229" i="10" s="1"/>
  <c r="C230" i="10"/>
  <c r="I231" i="10"/>
  <c r="D230" i="10" l="1"/>
  <c r="E230" i="10" s="1"/>
  <c r="F230" i="10" s="1"/>
  <c r="K231" i="10"/>
  <c r="L231" i="10" s="1"/>
  <c r="J232" i="10" s="1"/>
  <c r="I232" i="10"/>
  <c r="C231" i="10"/>
  <c r="K232" i="10" l="1"/>
  <c r="L232" i="10" s="1"/>
  <c r="J233" i="10" s="1"/>
  <c r="D231" i="10"/>
  <c r="E231" i="10" s="1"/>
  <c r="F231" i="10" s="1"/>
  <c r="C232" i="10"/>
  <c r="I233" i="10"/>
  <c r="D232" i="10" l="1"/>
  <c r="E232" i="10" s="1"/>
  <c r="F232" i="10" s="1"/>
  <c r="K233" i="10"/>
  <c r="L233" i="10" s="1"/>
  <c r="J234" i="10" s="1"/>
  <c r="I234" i="10"/>
  <c r="C233" i="10"/>
  <c r="D233" i="10" l="1"/>
  <c r="E233" i="10" s="1"/>
  <c r="F233" i="10" s="1"/>
  <c r="K234" i="10"/>
  <c r="L234" i="10" s="1"/>
  <c r="J235" i="10" s="1"/>
  <c r="C234" i="10"/>
  <c r="I235" i="10"/>
  <c r="K235" i="10" l="1"/>
  <c r="L235" i="10" s="1"/>
  <c r="J236" i="10" s="1"/>
  <c r="D234" i="10"/>
  <c r="E234" i="10" s="1"/>
  <c r="F234" i="10" s="1"/>
  <c r="I236" i="10"/>
  <c r="C235" i="10"/>
  <c r="D235" i="10" l="1"/>
  <c r="E235" i="10" s="1"/>
  <c r="F235" i="10" s="1"/>
  <c r="K236" i="10"/>
  <c r="L236" i="10" s="1"/>
  <c r="J237" i="10" s="1"/>
  <c r="C236" i="10"/>
  <c r="I237" i="10"/>
  <c r="K237" i="10" l="1"/>
  <c r="L237" i="10" s="1"/>
  <c r="J238" i="10" s="1"/>
  <c r="D236" i="10"/>
  <c r="E236" i="10" s="1"/>
  <c r="F236" i="10" s="1"/>
  <c r="I238" i="10"/>
  <c r="C237" i="10"/>
  <c r="D237" i="10" l="1"/>
  <c r="C238" i="10"/>
  <c r="E237" i="10"/>
  <c r="F237" i="10" s="1"/>
  <c r="K238" i="10"/>
  <c r="L238" i="10" s="1"/>
  <c r="J239" i="10" s="1"/>
  <c r="I239" i="10"/>
  <c r="D238" i="10" l="1"/>
  <c r="E238" i="10" s="1"/>
  <c r="F238" i="10" s="1"/>
  <c r="C239" i="10"/>
  <c r="K239" i="10"/>
  <c r="L239" i="10" s="1"/>
  <c r="J240" i="10" s="1"/>
  <c r="I240" i="10"/>
  <c r="K240" i="10" l="1"/>
  <c r="L240" i="10" s="1"/>
  <c r="J241" i="10" s="1"/>
  <c r="D239" i="10"/>
  <c r="E239" i="10" s="1"/>
  <c r="F239" i="10" s="1"/>
  <c r="C240" i="10"/>
  <c r="I241" i="10"/>
  <c r="D240" i="10" l="1"/>
  <c r="E240" i="10" s="1"/>
  <c r="F240" i="10" s="1"/>
  <c r="K241" i="10"/>
  <c r="L241" i="10" s="1"/>
  <c r="J242" i="10" s="1"/>
  <c r="I242" i="10"/>
  <c r="C241" i="10"/>
  <c r="D241" i="10" l="1"/>
  <c r="E241" i="10" s="1"/>
  <c r="F241" i="10" s="1"/>
  <c r="K242" i="10"/>
  <c r="L242" i="10" s="1"/>
  <c r="J243" i="10" s="1"/>
  <c r="C242" i="10"/>
  <c r="I243" i="10"/>
  <c r="D242" i="10" l="1"/>
  <c r="E242" i="10" s="1"/>
  <c r="F242" i="10" s="1"/>
  <c r="K243" i="10"/>
  <c r="L243" i="10" s="1"/>
  <c r="J244" i="10" s="1"/>
  <c r="I244" i="10"/>
  <c r="C243" i="10"/>
  <c r="K244" i="10" l="1"/>
  <c r="L244" i="10" s="1"/>
  <c r="J245" i="10" s="1"/>
  <c r="D243" i="10"/>
  <c r="E243" i="10" s="1"/>
  <c r="F243" i="10" s="1"/>
  <c r="C244" i="10"/>
  <c r="I245" i="10"/>
  <c r="K245" i="10" l="1"/>
  <c r="L245" i="10" s="1"/>
  <c r="J246" i="10" s="1"/>
  <c r="D244" i="10"/>
  <c r="E244" i="10" s="1"/>
  <c r="F244" i="10" s="1"/>
  <c r="I246" i="10"/>
  <c r="C245" i="10"/>
  <c r="D245" i="10" l="1"/>
  <c r="E245" i="10" s="1"/>
  <c r="F245" i="10" s="1"/>
  <c r="C246" i="10"/>
  <c r="I247" i="10"/>
  <c r="K246" i="10"/>
  <c r="L246" i="10" s="1"/>
  <c r="J247" i="10" s="1"/>
  <c r="D246" i="10" l="1"/>
  <c r="E246" i="10" s="1"/>
  <c r="F246" i="10" s="1"/>
  <c r="K247" i="10"/>
  <c r="L247" i="10" s="1"/>
  <c r="J248" i="10" s="1"/>
  <c r="C247" i="10"/>
  <c r="I248" i="10"/>
  <c r="D247" i="10" l="1"/>
  <c r="K248" i="10"/>
  <c r="L248" i="10" s="1"/>
  <c r="J249" i="10" s="1"/>
  <c r="I249" i="10"/>
  <c r="C248" i="10"/>
  <c r="E247" i="10"/>
  <c r="F247" i="10" s="1"/>
  <c r="D248" i="10" l="1"/>
  <c r="E248" i="10" s="1"/>
  <c r="F248" i="10" s="1"/>
  <c r="K249" i="10"/>
  <c r="L249" i="10" s="1"/>
  <c r="J250" i="10" s="1"/>
  <c r="C249" i="10"/>
  <c r="I250" i="10"/>
  <c r="D249" i="10" l="1"/>
  <c r="E249" i="10" s="1"/>
  <c r="F249" i="10" s="1"/>
  <c r="C250" i="10"/>
  <c r="K250" i="10"/>
  <c r="L250" i="10" s="1"/>
  <c r="J251" i="10" s="1"/>
  <c r="I251" i="10"/>
  <c r="K251" i="10" l="1"/>
  <c r="L251" i="10" s="1"/>
  <c r="J252" i="10" s="1"/>
  <c r="D250" i="10"/>
  <c r="E250" i="10" s="1"/>
  <c r="F250" i="10" s="1"/>
  <c r="I252" i="10"/>
  <c r="C251" i="10"/>
  <c r="K252" i="10" l="1"/>
  <c r="L252" i="10" s="1"/>
  <c r="J253" i="10" s="1"/>
  <c r="D251" i="10"/>
  <c r="E251" i="10" s="1"/>
  <c r="F251" i="10" s="1"/>
  <c r="I253" i="10"/>
  <c r="C252" i="10"/>
  <c r="D252" i="10" l="1"/>
  <c r="E252" i="10" s="1"/>
  <c r="F252" i="10" s="1"/>
  <c r="K253" i="10"/>
  <c r="L253" i="10" s="1"/>
  <c r="J254" i="10" s="1"/>
  <c r="C253" i="10"/>
  <c r="I254" i="10"/>
  <c r="K254" i="10" l="1"/>
  <c r="L254" i="10" s="1"/>
  <c r="J255" i="10" s="1"/>
  <c r="D253" i="10"/>
  <c r="E253" i="10" s="1"/>
  <c r="F253" i="10" s="1"/>
  <c r="I255" i="10"/>
  <c r="C254" i="10"/>
  <c r="K255" i="10" l="1"/>
  <c r="L255" i="10" s="1"/>
  <c r="J256" i="10" s="1"/>
  <c r="D254" i="10"/>
  <c r="E254" i="10" s="1"/>
  <c r="F254" i="10" s="1"/>
  <c r="I256" i="10"/>
  <c r="C255" i="10"/>
  <c r="K256" i="10" l="1"/>
  <c r="L256" i="10" s="1"/>
  <c r="J257" i="10" s="1"/>
  <c r="D255" i="10"/>
  <c r="E255" i="10" s="1"/>
  <c r="F255" i="10" s="1"/>
  <c r="I257" i="10"/>
  <c r="C256" i="10"/>
  <c r="D256" i="10" l="1"/>
  <c r="E256" i="10" s="1"/>
  <c r="F256" i="10" s="1"/>
  <c r="K257" i="10"/>
  <c r="L257" i="10" s="1"/>
  <c r="J258" i="10" s="1"/>
  <c r="I258" i="10"/>
  <c r="C257" i="10"/>
  <c r="K258" i="10" l="1"/>
  <c r="L258" i="10" s="1"/>
  <c r="J259" i="10" s="1"/>
  <c r="D257" i="10"/>
  <c r="I259" i="10"/>
  <c r="E257" i="10"/>
  <c r="F257" i="10" s="1"/>
  <c r="C258" i="10"/>
  <c r="K259" i="10" l="1"/>
  <c r="L259" i="10" s="1"/>
  <c r="J260" i="10" s="1"/>
  <c r="D258" i="10"/>
  <c r="E258" i="10"/>
  <c r="F258" i="10" s="1"/>
  <c r="C259" i="10"/>
  <c r="I260" i="10"/>
  <c r="K260" i="10" l="1"/>
  <c r="L260" i="10" s="1"/>
  <c r="J261" i="10" s="1"/>
  <c r="D259" i="10"/>
  <c r="I261" i="10"/>
  <c r="E259" i="10"/>
  <c r="F259" i="10" s="1"/>
  <c r="C260" i="10"/>
  <c r="K261" i="10" l="1"/>
  <c r="L261" i="10" s="1"/>
  <c r="J262" i="10" s="1"/>
  <c r="D260" i="10"/>
  <c r="E260" i="10" s="1"/>
  <c r="F260" i="10" s="1"/>
  <c r="I262" i="10"/>
  <c r="C261" i="10"/>
  <c r="D261" i="10" l="1"/>
  <c r="E261" i="10" s="1"/>
  <c r="F261" i="10" s="1"/>
  <c r="K262" i="10"/>
  <c r="L262" i="10" s="1"/>
  <c r="J263" i="10" s="1"/>
  <c r="I263" i="10"/>
  <c r="C262" i="10"/>
  <c r="D262" i="10" l="1"/>
  <c r="E262" i="10" s="1"/>
  <c r="F262" i="10" s="1"/>
  <c r="K263" i="10"/>
  <c r="L263" i="10" s="1"/>
  <c r="J264" i="10" s="1"/>
  <c r="I264" i="10"/>
  <c r="C263" i="10"/>
  <c r="D263" i="10" l="1"/>
  <c r="E263" i="10" s="1"/>
  <c r="F263" i="10" s="1"/>
  <c r="K264" i="10"/>
  <c r="L264" i="10" s="1"/>
  <c r="J265" i="10" s="1"/>
  <c r="I265" i="10"/>
  <c r="C264" i="10"/>
  <c r="K265" i="10" l="1"/>
  <c r="L265" i="10" s="1"/>
  <c r="J266" i="10" s="1"/>
  <c r="D264" i="10"/>
  <c r="E264" i="10" s="1"/>
  <c r="F264" i="10" s="1"/>
  <c r="I266" i="10"/>
  <c r="C265" i="10"/>
  <c r="D265" i="10" l="1"/>
  <c r="E265" i="10" s="1"/>
  <c r="F265" i="10" s="1"/>
  <c r="K266" i="10"/>
  <c r="L266" i="10" s="1"/>
  <c r="J267" i="10" s="1"/>
  <c r="I267" i="10"/>
  <c r="C266" i="10"/>
  <c r="D266" i="10" l="1"/>
  <c r="K267" i="10"/>
  <c r="L267" i="10" s="1"/>
  <c r="J268" i="10" s="1"/>
  <c r="I268" i="10"/>
  <c r="C267" i="10"/>
  <c r="E266" i="10"/>
  <c r="F266" i="10" s="1"/>
  <c r="D267" i="10" l="1"/>
  <c r="K268" i="10"/>
  <c r="L268" i="10" s="1"/>
  <c r="J269" i="10" s="1"/>
  <c r="E267" i="10"/>
  <c r="F267" i="10" s="1"/>
  <c r="C268" i="10"/>
  <c r="I269" i="10"/>
  <c r="K269" i="10" l="1"/>
  <c r="L269" i="10" s="1"/>
  <c r="J270" i="10" s="1"/>
  <c r="D268" i="10"/>
  <c r="E268" i="10" s="1"/>
  <c r="F268" i="10" s="1"/>
  <c r="C269" i="10"/>
  <c r="I270" i="10"/>
  <c r="K270" i="10" l="1"/>
  <c r="L270" i="10" s="1"/>
  <c r="J271" i="10" s="1"/>
  <c r="D269" i="10"/>
  <c r="E269" i="10" s="1"/>
  <c r="F269" i="10" s="1"/>
  <c r="C270" i="10"/>
  <c r="I271" i="10"/>
  <c r="K271" i="10" l="1"/>
  <c r="L271" i="10" s="1"/>
  <c r="J272" i="10" s="1"/>
  <c r="D270" i="10"/>
  <c r="E270" i="10" s="1"/>
  <c r="F270" i="10" s="1"/>
  <c r="C271" i="10"/>
  <c r="I272" i="10"/>
  <c r="K272" i="10" l="1"/>
  <c r="L272" i="10" s="1"/>
  <c r="J273" i="10" s="1"/>
  <c r="D271" i="10"/>
  <c r="E271" i="10" s="1"/>
  <c r="F271" i="10" s="1"/>
  <c r="I273" i="10"/>
  <c r="C272" i="10"/>
  <c r="D272" i="10" l="1"/>
  <c r="E272" i="10" s="1"/>
  <c r="F272" i="10" s="1"/>
  <c r="K273" i="10"/>
  <c r="L273" i="10" s="1"/>
  <c r="J274" i="10" s="1"/>
  <c r="I274" i="10"/>
  <c r="C273" i="10"/>
  <c r="D273" i="10" l="1"/>
  <c r="K274" i="10"/>
  <c r="L274" i="10" s="1"/>
  <c r="J275" i="10" s="1"/>
  <c r="I275" i="10"/>
  <c r="C274" i="10"/>
  <c r="E273" i="10"/>
  <c r="F273" i="10" s="1"/>
  <c r="D274" i="10" l="1"/>
  <c r="E274" i="10" s="1"/>
  <c r="F274" i="10" s="1"/>
  <c r="K275" i="10"/>
  <c r="L275" i="10" s="1"/>
  <c r="J276" i="10" s="1"/>
  <c r="I276" i="10"/>
  <c r="C275" i="10"/>
  <c r="D275" i="10" l="1"/>
  <c r="K276" i="10"/>
  <c r="L276" i="10" s="1"/>
  <c r="J277" i="10" s="1"/>
  <c r="I277" i="10"/>
  <c r="C276" i="10"/>
  <c r="E275" i="10"/>
  <c r="F275" i="10" s="1"/>
  <c r="D276" i="10" l="1"/>
  <c r="E276" i="10" s="1"/>
  <c r="F276" i="10" s="1"/>
  <c r="K277" i="10"/>
  <c r="L277" i="10" s="1"/>
  <c r="J278" i="10" s="1"/>
  <c r="C277" i="10"/>
  <c r="I278" i="10"/>
  <c r="D277" i="10" l="1"/>
  <c r="E277" i="10" s="1"/>
  <c r="F277" i="10" s="1"/>
  <c r="K278" i="10"/>
  <c r="L278" i="10" s="1"/>
  <c r="J279" i="10" s="1"/>
  <c r="C278" i="10"/>
  <c r="I279" i="10"/>
  <c r="D278" i="10" l="1"/>
  <c r="E278" i="10" s="1"/>
  <c r="F278" i="10" s="1"/>
  <c r="K279" i="10"/>
  <c r="L279" i="10" s="1"/>
  <c r="J280" i="10" s="1"/>
  <c r="C279" i="10"/>
  <c r="I280" i="10"/>
  <c r="D279" i="10" l="1"/>
  <c r="E279" i="10" s="1"/>
  <c r="F279" i="10" s="1"/>
  <c r="K280" i="10"/>
  <c r="L280" i="10" s="1"/>
  <c r="J281" i="10" s="1"/>
  <c r="I281" i="10"/>
  <c r="C280" i="10"/>
  <c r="D280" i="10" l="1"/>
  <c r="E280" i="10" s="1"/>
  <c r="F280" i="10" s="1"/>
  <c r="K281" i="10"/>
  <c r="L281" i="10" s="1"/>
  <c r="J282" i="10" s="1"/>
  <c r="C281" i="10"/>
  <c r="I282" i="10"/>
  <c r="D281" i="10" l="1"/>
  <c r="E281" i="10" s="1"/>
  <c r="F281" i="10" s="1"/>
  <c r="K282" i="10"/>
  <c r="L282" i="10" s="1"/>
  <c r="J283" i="10" s="1"/>
  <c r="C282" i="10"/>
  <c r="I283" i="10"/>
  <c r="D282" i="10" l="1"/>
  <c r="E282" i="10" s="1"/>
  <c r="F282" i="10" s="1"/>
  <c r="K283" i="10"/>
  <c r="L283" i="10" s="1"/>
  <c r="J284" i="10" s="1"/>
  <c r="C283" i="10"/>
  <c r="I284" i="10"/>
  <c r="D283" i="10" l="1"/>
  <c r="E283" i="10" s="1"/>
  <c r="F283" i="10" s="1"/>
  <c r="K284" i="10"/>
  <c r="L284" i="10" s="1"/>
  <c r="J285" i="10" s="1"/>
  <c r="I285" i="10"/>
  <c r="C284" i="10"/>
  <c r="K285" i="10" l="1"/>
  <c r="L285" i="10" s="1"/>
  <c r="J286" i="10" s="1"/>
  <c r="I286" i="10"/>
  <c r="C285" i="10"/>
  <c r="D284" i="10"/>
  <c r="E284" i="10" s="1"/>
  <c r="F284" i="10" s="1"/>
  <c r="D285" i="10" l="1"/>
  <c r="E285" i="10" s="1"/>
  <c r="F285" i="10" s="1"/>
  <c r="K286" i="10"/>
  <c r="L286" i="10" s="1"/>
  <c r="J287" i="10" s="1"/>
  <c r="I287" i="10"/>
  <c r="C286" i="10"/>
  <c r="D286" i="10" l="1"/>
  <c r="K287" i="10"/>
  <c r="L287" i="10" s="1"/>
  <c r="J288" i="10" s="1"/>
  <c r="I288" i="10"/>
  <c r="C287" i="10"/>
  <c r="E286" i="10"/>
  <c r="F286" i="10" s="1"/>
  <c r="D287" i="10" l="1"/>
  <c r="E287" i="10" s="1"/>
  <c r="F287" i="10" s="1"/>
  <c r="K288" i="10"/>
  <c r="L288" i="10" s="1"/>
  <c r="J289" i="10" s="1"/>
  <c r="I289" i="10"/>
  <c r="C288" i="10"/>
  <c r="K289" i="10" l="1"/>
  <c r="L289" i="10" s="1"/>
  <c r="J290" i="10" s="1"/>
  <c r="D288" i="10"/>
  <c r="E288" i="10" s="1"/>
  <c r="F288" i="10" s="1"/>
  <c r="I290" i="10"/>
  <c r="C289" i="10"/>
  <c r="K290" i="10" l="1"/>
  <c r="L290" i="10" s="1"/>
  <c r="J291" i="10" s="1"/>
  <c r="D289" i="10"/>
  <c r="E289" i="10" s="1"/>
  <c r="F289" i="10" s="1"/>
  <c r="I291" i="10"/>
  <c r="C290" i="10"/>
  <c r="D290" i="10" l="1"/>
  <c r="E290" i="10" s="1"/>
  <c r="F290" i="10" s="1"/>
  <c r="K291" i="10"/>
  <c r="L291" i="10" s="1"/>
  <c r="J292" i="10" s="1"/>
  <c r="C291" i="10"/>
  <c r="I292" i="10"/>
  <c r="D291" i="10" l="1"/>
  <c r="E291" i="10" s="1"/>
  <c r="F291" i="10" s="1"/>
  <c r="K292" i="10"/>
  <c r="L292" i="10" s="1"/>
  <c r="J293" i="10" s="1"/>
  <c r="C292" i="10"/>
  <c r="I293" i="10"/>
  <c r="D292" i="10" l="1"/>
  <c r="K293" i="10"/>
  <c r="L293" i="10" s="1"/>
  <c r="J294" i="10" s="1"/>
  <c r="E292" i="10"/>
  <c r="F292" i="10" s="1"/>
  <c r="C293" i="10"/>
  <c r="I294" i="10"/>
  <c r="C294" i="10" l="1"/>
  <c r="D293" i="10"/>
  <c r="E293" i="10" s="1"/>
  <c r="F293" i="10" s="1"/>
  <c r="I295" i="10"/>
  <c r="K294" i="10"/>
  <c r="L294" i="10" s="1"/>
  <c r="J295" i="10" s="1"/>
  <c r="K295" i="10" l="1"/>
  <c r="L295" i="10" s="1"/>
  <c r="J296" i="10" s="1"/>
  <c r="D294" i="10"/>
  <c r="E294" i="10" s="1"/>
  <c r="F294" i="10" s="1"/>
  <c r="I296" i="10"/>
  <c r="C295" i="10"/>
  <c r="K296" i="10" l="1"/>
  <c r="L296" i="10" s="1"/>
  <c r="J297" i="10" s="1"/>
  <c r="D295" i="10"/>
  <c r="E295" i="10" s="1"/>
  <c r="F295" i="10" s="1"/>
  <c r="I297" i="10"/>
  <c r="C296" i="10"/>
  <c r="I298" i="10" l="1"/>
  <c r="K297" i="10"/>
  <c r="L297" i="10" s="1"/>
  <c r="J298" i="10" s="1"/>
  <c r="C297" i="10"/>
  <c r="D296" i="10"/>
  <c r="E296" i="10" s="1"/>
  <c r="F296" i="10" s="1"/>
  <c r="D297" i="10" l="1"/>
  <c r="E297" i="10" s="1"/>
  <c r="F297" i="10" s="1"/>
  <c r="K298" i="10"/>
  <c r="L298" i="10" s="1"/>
  <c r="J299" i="10" s="1"/>
  <c r="C298" i="10"/>
  <c r="I299" i="10"/>
  <c r="D298" i="10" l="1"/>
  <c r="E298" i="10" s="1"/>
  <c r="F298" i="10" s="1"/>
  <c r="K299" i="10"/>
  <c r="L299" i="10" s="1"/>
  <c r="J300" i="10" s="1"/>
  <c r="I300" i="10"/>
  <c r="C299" i="10"/>
  <c r="D299" i="10" l="1"/>
  <c r="K300" i="10"/>
  <c r="L300" i="10" s="1"/>
  <c r="J301" i="10" s="1"/>
  <c r="I301" i="10"/>
  <c r="E299" i="10"/>
  <c r="F299" i="10" s="1"/>
  <c r="C300" i="10"/>
  <c r="D300" i="10" l="1"/>
  <c r="K301" i="10"/>
  <c r="L301" i="10" s="1"/>
  <c r="J302" i="10" s="1"/>
  <c r="I302" i="10"/>
  <c r="E300" i="10"/>
  <c r="F300" i="10" s="1"/>
  <c r="C301" i="10"/>
  <c r="K302" i="10" l="1"/>
  <c r="L302" i="10" s="1"/>
  <c r="J303" i="10" s="1"/>
  <c r="I303" i="10"/>
  <c r="C302" i="10"/>
  <c r="D301" i="10"/>
  <c r="E301" i="10" s="1"/>
  <c r="F301" i="10" s="1"/>
  <c r="D302" i="10" l="1"/>
  <c r="E302" i="10" s="1"/>
  <c r="F302" i="10" s="1"/>
  <c r="K303" i="10"/>
  <c r="L303" i="10" s="1"/>
  <c r="J304" i="10" s="1"/>
  <c r="I304" i="10"/>
  <c r="C303" i="10"/>
  <c r="D303" i="10" l="1"/>
  <c r="E303" i="10" s="1"/>
  <c r="F303" i="10" s="1"/>
  <c r="K304" i="10"/>
  <c r="L304" i="10" s="1"/>
  <c r="J305" i="10" s="1"/>
  <c r="C304" i="10"/>
  <c r="I305" i="10"/>
  <c r="K305" i="10" l="1"/>
  <c r="L305" i="10" s="1"/>
  <c r="J306" i="10" s="1"/>
  <c r="D304" i="10"/>
  <c r="E304" i="10" s="1"/>
  <c r="F304" i="10" s="1"/>
  <c r="I306" i="10"/>
  <c r="C305" i="10"/>
  <c r="D305" i="10" l="1"/>
  <c r="E305" i="10" s="1"/>
  <c r="F305" i="10" s="1"/>
  <c r="K306" i="10"/>
  <c r="L306" i="10" s="1"/>
  <c r="J307" i="10" s="1"/>
  <c r="I307" i="10"/>
  <c r="C306" i="10"/>
  <c r="K307" i="10" l="1"/>
  <c r="L307" i="10" s="1"/>
  <c r="J308" i="10" s="1"/>
  <c r="D306" i="10"/>
  <c r="E306" i="10" s="1"/>
  <c r="F306" i="10" s="1"/>
  <c r="I308" i="10"/>
  <c r="C307" i="10"/>
  <c r="K308" i="10" l="1"/>
  <c r="L308" i="10" s="1"/>
  <c r="J309" i="10" s="1"/>
  <c r="D307" i="10"/>
  <c r="E307" i="10" s="1"/>
  <c r="F307" i="10" s="1"/>
  <c r="I309" i="10"/>
  <c r="C308" i="10"/>
  <c r="D308" i="10" l="1"/>
  <c r="E308" i="10" s="1"/>
  <c r="F308" i="10" s="1"/>
  <c r="K309" i="10"/>
  <c r="L309" i="10" s="1"/>
  <c r="J310" i="10" s="1"/>
  <c r="C309" i="10"/>
  <c r="I310" i="10"/>
  <c r="D309" i="10" l="1"/>
  <c r="E309" i="10" s="1"/>
  <c r="F309" i="10" s="1"/>
  <c r="K310" i="10"/>
  <c r="L310" i="10" s="1"/>
  <c r="J311" i="10" s="1"/>
  <c r="C310" i="10"/>
  <c r="I311" i="10"/>
  <c r="D310" i="10" l="1"/>
  <c r="E310" i="10" s="1"/>
  <c r="F310" i="10" s="1"/>
  <c r="K311" i="10"/>
  <c r="L311" i="10" s="1"/>
  <c r="J312" i="10" s="1"/>
  <c r="C311" i="10"/>
  <c r="I312" i="10"/>
  <c r="D311" i="10" l="1"/>
  <c r="E311" i="10" s="1"/>
  <c r="F311" i="10" s="1"/>
  <c r="K312" i="10"/>
  <c r="L312" i="10" s="1"/>
  <c r="J313" i="10" s="1"/>
  <c r="C312" i="10"/>
  <c r="I313" i="10"/>
  <c r="K313" i="10" l="1"/>
  <c r="L313" i="10" s="1"/>
  <c r="J314" i="10" s="1"/>
  <c r="D312" i="10"/>
  <c r="E312" i="10" s="1"/>
  <c r="F312" i="10" s="1"/>
  <c r="I314" i="10"/>
  <c r="C313" i="10"/>
  <c r="K314" i="10" l="1"/>
  <c r="L314" i="10" s="1"/>
  <c r="J315" i="10" s="1"/>
  <c r="D313" i="10"/>
  <c r="E313" i="10" s="1"/>
  <c r="F313" i="10" s="1"/>
  <c r="C314" i="10"/>
  <c r="I315" i="10"/>
  <c r="K315" i="10" l="1"/>
  <c r="L315" i="10" s="1"/>
  <c r="J316" i="10" s="1"/>
  <c r="D314" i="10"/>
  <c r="E314" i="10" s="1"/>
  <c r="F314" i="10" s="1"/>
  <c r="I316" i="10"/>
  <c r="C315" i="10"/>
  <c r="D315" i="10" l="1"/>
  <c r="K316" i="10"/>
  <c r="L316" i="10" s="1"/>
  <c r="J317" i="10" s="1"/>
  <c r="C316" i="10"/>
  <c r="E315" i="10"/>
  <c r="F315" i="10" s="1"/>
  <c r="I317" i="10"/>
  <c r="D316" i="10" l="1"/>
  <c r="E316" i="10" s="1"/>
  <c r="F316" i="10" s="1"/>
  <c r="K317" i="10"/>
  <c r="L317" i="10" s="1"/>
  <c r="J318" i="10" s="1"/>
  <c r="I318" i="10"/>
  <c r="C317" i="10"/>
  <c r="D317" i="10" l="1"/>
  <c r="E317" i="10" s="1"/>
  <c r="F317" i="10" s="1"/>
  <c r="K318" i="10"/>
  <c r="L318" i="10" s="1"/>
  <c r="J319" i="10" s="1"/>
  <c r="C318" i="10"/>
  <c r="I319" i="10"/>
  <c r="K319" i="10" l="1"/>
  <c r="L319" i="10" s="1"/>
  <c r="J320" i="10" s="1"/>
  <c r="D318" i="10"/>
  <c r="E318" i="10" s="1"/>
  <c r="F318" i="10" s="1"/>
  <c r="I320" i="10"/>
  <c r="C319" i="10"/>
  <c r="D319" i="10" l="1"/>
  <c r="E319" i="10" s="1"/>
  <c r="F319" i="10" s="1"/>
  <c r="K320" i="10"/>
  <c r="L320" i="10" s="1"/>
  <c r="J321" i="10" s="1"/>
  <c r="C320" i="10"/>
  <c r="I321" i="10"/>
  <c r="K321" i="10" l="1"/>
  <c r="L321" i="10" s="1"/>
  <c r="J322" i="10" s="1"/>
  <c r="D320" i="10"/>
  <c r="E320" i="10" s="1"/>
  <c r="F320" i="10" s="1"/>
  <c r="I322" i="10"/>
  <c r="C321" i="10"/>
  <c r="D321" i="10" l="1"/>
  <c r="E321" i="10" s="1"/>
  <c r="F321" i="10" s="1"/>
  <c r="K322" i="10"/>
  <c r="L322" i="10" s="1"/>
  <c r="J323" i="10" s="1"/>
  <c r="C322" i="10"/>
  <c r="I323" i="10"/>
  <c r="K323" i="10" l="1"/>
  <c r="L323" i="10" s="1"/>
  <c r="J324" i="10" s="1"/>
  <c r="D322" i="10"/>
  <c r="E322" i="10" s="1"/>
  <c r="F322" i="10" s="1"/>
  <c r="I324" i="10"/>
  <c r="C323" i="10"/>
  <c r="D323" i="10" l="1"/>
  <c r="E323" i="10" s="1"/>
  <c r="F323" i="10" s="1"/>
  <c r="K324" i="10"/>
  <c r="L324" i="10" s="1"/>
  <c r="J325" i="10" s="1"/>
  <c r="C324" i="10"/>
  <c r="I325" i="10"/>
  <c r="K325" i="10" l="1"/>
  <c r="L325" i="10" s="1"/>
  <c r="J326" i="10" s="1"/>
  <c r="D324" i="10"/>
  <c r="E324" i="10" s="1"/>
  <c r="F324" i="10" s="1"/>
  <c r="C325" i="10"/>
  <c r="I326" i="10"/>
  <c r="K326" i="10" l="1"/>
  <c r="L326" i="10" s="1"/>
  <c r="J327" i="10" s="1"/>
  <c r="D325" i="10"/>
  <c r="E325" i="10" s="1"/>
  <c r="F325" i="10" s="1"/>
  <c r="C326" i="10"/>
  <c r="I327" i="10"/>
  <c r="D326" i="10" l="1"/>
  <c r="E326" i="10" s="1"/>
  <c r="F326" i="10" s="1"/>
  <c r="K327" i="10"/>
  <c r="L327" i="10" s="1"/>
  <c r="J328" i="10" s="1"/>
  <c r="C327" i="10"/>
  <c r="I328" i="10"/>
  <c r="D327" i="10" l="1"/>
  <c r="E327" i="10" s="1"/>
  <c r="F327" i="10" s="1"/>
  <c r="K328" i="10"/>
  <c r="L328" i="10" s="1"/>
  <c r="J329" i="10" s="1"/>
  <c r="C328" i="10"/>
  <c r="I329" i="10"/>
  <c r="D328" i="10" l="1"/>
  <c r="E328" i="10" s="1"/>
  <c r="F328" i="10" s="1"/>
  <c r="K329" i="10"/>
  <c r="L329" i="10" s="1"/>
  <c r="J330" i="10" s="1"/>
  <c r="I330" i="10"/>
  <c r="C329" i="10"/>
  <c r="D329" i="10" l="1"/>
  <c r="E329" i="10" s="1"/>
  <c r="F329" i="10" s="1"/>
  <c r="K330" i="10"/>
  <c r="L330" i="10" s="1"/>
  <c r="J331" i="10" s="1"/>
  <c r="C330" i="10"/>
  <c r="I331" i="10"/>
  <c r="K331" i="10" l="1"/>
  <c r="L331" i="10" s="1"/>
  <c r="J332" i="10" s="1"/>
  <c r="D330" i="10"/>
  <c r="E330" i="10"/>
  <c r="F330" i="10" s="1"/>
  <c r="C331" i="10"/>
  <c r="I332" i="10"/>
  <c r="K332" i="10" l="1"/>
  <c r="L332" i="10" s="1"/>
  <c r="J333" i="10" s="1"/>
  <c r="D331" i="10"/>
  <c r="E331" i="10" s="1"/>
  <c r="F331" i="10" s="1"/>
  <c r="C332" i="10"/>
  <c r="I333" i="10"/>
  <c r="D332" i="10" l="1"/>
  <c r="E332" i="10" s="1"/>
  <c r="F332" i="10" s="1"/>
  <c r="K333" i="10"/>
  <c r="L333" i="10" s="1"/>
  <c r="J334" i="10" s="1"/>
  <c r="C333" i="10"/>
  <c r="I334" i="10"/>
  <c r="D333" i="10" l="1"/>
  <c r="E333" i="10" s="1"/>
  <c r="F333" i="10" s="1"/>
  <c r="K334" i="10"/>
  <c r="L334" i="10" s="1"/>
  <c r="J335" i="10" s="1"/>
  <c r="C334" i="10"/>
  <c r="I335" i="10"/>
  <c r="D334" i="10" l="1"/>
  <c r="E334" i="10" s="1"/>
  <c r="F334" i="10" s="1"/>
  <c r="K335" i="10"/>
  <c r="L335" i="10" s="1"/>
  <c r="J336" i="10" s="1"/>
  <c r="C335" i="10"/>
  <c r="I336" i="10"/>
  <c r="D335" i="10" l="1"/>
  <c r="E335" i="10" s="1"/>
  <c r="F335" i="10" s="1"/>
  <c r="K336" i="10"/>
  <c r="L336" i="10" s="1"/>
  <c r="J337" i="10" s="1"/>
  <c r="I337" i="10"/>
  <c r="C336" i="10"/>
  <c r="D336" i="10" l="1"/>
  <c r="E336" i="10" s="1"/>
  <c r="F336" i="10" s="1"/>
  <c r="K337" i="10"/>
  <c r="L337" i="10" s="1"/>
  <c r="J338" i="10" s="1"/>
  <c r="I338" i="10"/>
  <c r="C337" i="10"/>
  <c r="K338" i="10" l="1"/>
  <c r="L338" i="10" s="1"/>
  <c r="J339" i="10" s="1"/>
  <c r="D337" i="10"/>
  <c r="E337" i="10" s="1"/>
  <c r="F337" i="10" s="1"/>
  <c r="C338" i="10"/>
  <c r="I339" i="10"/>
  <c r="D338" i="10" l="1"/>
  <c r="E338" i="10" s="1"/>
  <c r="F338" i="10" s="1"/>
  <c r="K339" i="10"/>
  <c r="L339" i="10" s="1"/>
  <c r="J340" i="10" s="1"/>
  <c r="C339" i="10"/>
  <c r="I340" i="10"/>
  <c r="K340" i="10" l="1"/>
  <c r="L340" i="10" s="1"/>
  <c r="J341" i="10" s="1"/>
  <c r="D339" i="10"/>
  <c r="E339" i="10" s="1"/>
  <c r="F339" i="10" s="1"/>
  <c r="I341" i="10"/>
  <c r="C340" i="10"/>
  <c r="K341" i="10" l="1"/>
  <c r="L341" i="10" s="1"/>
  <c r="J342" i="10" s="1"/>
  <c r="D340" i="10"/>
  <c r="E340" i="10" s="1"/>
  <c r="F340" i="10" s="1"/>
  <c r="C341" i="10"/>
  <c r="I342" i="10"/>
  <c r="K342" i="10" l="1"/>
  <c r="L342" i="10" s="1"/>
  <c r="J343" i="10" s="1"/>
  <c r="D341" i="10"/>
  <c r="E341" i="10"/>
  <c r="F341" i="10" s="1"/>
  <c r="C342" i="10"/>
  <c r="I343" i="10"/>
  <c r="K343" i="10" l="1"/>
  <c r="L343" i="10" s="1"/>
  <c r="J344" i="10" s="1"/>
  <c r="D342" i="10"/>
  <c r="E342" i="10" s="1"/>
  <c r="F342" i="10" s="1"/>
  <c r="C343" i="10"/>
  <c r="I344" i="10"/>
  <c r="D343" i="10" l="1"/>
  <c r="E343" i="10" s="1"/>
  <c r="F343" i="10" s="1"/>
  <c r="C344" i="10"/>
  <c r="I345" i="10"/>
  <c r="K344" i="10"/>
  <c r="L344" i="10" s="1"/>
  <c r="J345" i="10" s="1"/>
  <c r="K345" i="10" l="1"/>
  <c r="L345" i="10" s="1"/>
  <c r="J346" i="10" s="1"/>
  <c r="D344" i="10"/>
  <c r="E344" i="10" s="1"/>
  <c r="F344" i="10" s="1"/>
  <c r="I346" i="10"/>
  <c r="C345" i="10"/>
  <c r="K346" i="10" l="1"/>
  <c r="L346" i="10" s="1"/>
  <c r="J347" i="10" s="1"/>
  <c r="D345" i="10"/>
  <c r="E345" i="10" s="1"/>
  <c r="F345" i="10" s="1"/>
  <c r="I347" i="10"/>
  <c r="C346" i="10"/>
  <c r="D346" i="10" l="1"/>
  <c r="E346" i="10" s="1"/>
  <c r="F346" i="10" s="1"/>
  <c r="K347" i="10"/>
  <c r="L347" i="10" s="1"/>
  <c r="J348" i="10" s="1"/>
  <c r="C347" i="10"/>
  <c r="I348" i="10"/>
  <c r="D347" i="10" l="1"/>
  <c r="E347" i="10" s="1"/>
  <c r="F347" i="10" s="1"/>
  <c r="I349" i="10"/>
  <c r="K348" i="10"/>
  <c r="L348" i="10" s="1"/>
  <c r="J349" i="10" s="1"/>
  <c r="C348" i="10"/>
  <c r="D348" i="10" l="1"/>
  <c r="E348" i="10" s="1"/>
  <c r="F348" i="10" s="1"/>
  <c r="K349" i="10"/>
  <c r="L349" i="10" s="1"/>
  <c r="J350" i="10" s="1"/>
  <c r="I350" i="10"/>
  <c r="C349" i="10"/>
  <c r="D349" i="10" l="1"/>
  <c r="E349" i="10" s="1"/>
  <c r="F349" i="10" s="1"/>
  <c r="K350" i="10"/>
  <c r="L350" i="10" s="1"/>
  <c r="J351" i="10" s="1"/>
  <c r="I351" i="10"/>
  <c r="C350" i="10"/>
  <c r="D350" i="10" l="1"/>
  <c r="E350" i="10" s="1"/>
  <c r="F350" i="10" s="1"/>
  <c r="K351" i="10"/>
  <c r="L351" i="10" s="1"/>
  <c r="J352" i="10" s="1"/>
  <c r="I352" i="10"/>
  <c r="C351" i="10"/>
  <c r="D351" i="10" l="1"/>
  <c r="E351" i="10" s="1"/>
  <c r="F351" i="10" s="1"/>
  <c r="K352" i="10"/>
  <c r="L352" i="10" s="1"/>
  <c r="J353" i="10" s="1"/>
  <c r="I353" i="10"/>
  <c r="C352" i="10"/>
  <c r="D352" i="10" l="1"/>
  <c r="E352" i="10" s="1"/>
  <c r="F352" i="10" s="1"/>
  <c r="K353" i="10"/>
  <c r="L353" i="10" s="1"/>
  <c r="J354" i="10" s="1"/>
  <c r="C353" i="10"/>
  <c r="I354" i="10"/>
  <c r="K354" i="10" l="1"/>
  <c r="L354" i="10" s="1"/>
  <c r="J355" i="10" s="1"/>
  <c r="D353" i="10"/>
  <c r="E353" i="10" s="1"/>
  <c r="F353" i="10" s="1"/>
  <c r="C354" i="10"/>
  <c r="I355" i="10"/>
  <c r="D354" i="10" l="1"/>
  <c r="E354" i="10" s="1"/>
  <c r="F354" i="10" s="1"/>
  <c r="K355" i="10"/>
  <c r="L355" i="10" s="1"/>
  <c r="J356" i="10" s="1"/>
  <c r="C355" i="10"/>
  <c r="I356" i="10"/>
  <c r="D355" i="10" l="1"/>
  <c r="E355" i="10" s="1"/>
  <c r="F355" i="10" s="1"/>
  <c r="K356" i="10"/>
  <c r="L356" i="10" s="1"/>
  <c r="J357" i="10" s="1"/>
  <c r="C356" i="10"/>
  <c r="I357" i="10"/>
  <c r="D356" i="10" l="1"/>
  <c r="E356" i="10" s="1"/>
  <c r="F356" i="10" s="1"/>
  <c r="K357" i="10"/>
  <c r="L357" i="10" s="1"/>
  <c r="J358" i="10" s="1"/>
  <c r="C357" i="10"/>
  <c r="I358" i="10"/>
  <c r="K358" i="10" l="1"/>
  <c r="L358" i="10" s="1"/>
  <c r="J359" i="10" s="1"/>
  <c r="D357" i="10"/>
  <c r="E357" i="10" s="1"/>
  <c r="F357" i="10" s="1"/>
  <c r="I359" i="10"/>
  <c r="C358" i="10"/>
  <c r="K359" i="10" l="1"/>
  <c r="L359" i="10" s="1"/>
  <c r="J360" i="10" s="1"/>
  <c r="D358" i="10"/>
  <c r="E358" i="10" s="1"/>
  <c r="F358" i="10" s="1"/>
  <c r="C359" i="10"/>
  <c r="I360" i="10"/>
  <c r="K360" i="10" l="1"/>
  <c r="L360" i="10" s="1"/>
  <c r="J361" i="10" s="1"/>
  <c r="D359" i="10"/>
  <c r="E359" i="10" s="1"/>
  <c r="F359" i="10" s="1"/>
  <c r="C360" i="10"/>
  <c r="I361" i="10"/>
  <c r="D360" i="10" l="1"/>
  <c r="C361" i="10"/>
  <c r="E360" i="10"/>
  <c r="F360" i="10" s="1"/>
  <c r="I362" i="10"/>
  <c r="K361" i="10"/>
  <c r="L361" i="10" s="1"/>
  <c r="J362" i="10" s="1"/>
  <c r="P17" i="9"/>
  <c r="B4" i="8"/>
  <c r="V16" i="9"/>
  <c r="V4" i="9"/>
  <c r="U16" i="9"/>
  <c r="U4" i="9"/>
  <c r="T16" i="9"/>
  <c r="T4" i="9"/>
  <c r="S16" i="9"/>
  <c r="S4" i="9"/>
  <c r="R16" i="9"/>
  <c r="R4" i="9"/>
  <c r="Q16" i="9"/>
  <c r="Q4" i="9"/>
  <c r="P16" i="9"/>
  <c r="P4" i="9"/>
  <c r="O16" i="9"/>
  <c r="O4" i="9"/>
  <c r="N16" i="9"/>
  <c r="N4" i="9"/>
  <c r="M16" i="9"/>
  <c r="M4" i="9"/>
  <c r="L16" i="9"/>
  <c r="L4" i="9"/>
  <c r="K16" i="9"/>
  <c r="K4" i="9"/>
  <c r="J16" i="9"/>
  <c r="J4" i="9"/>
  <c r="I16" i="9"/>
  <c r="I4" i="9"/>
  <c r="H8" i="9"/>
  <c r="H16" i="9" s="1"/>
  <c r="H4" i="9"/>
  <c r="G8" i="9"/>
  <c r="G16" i="9" s="1"/>
  <c r="G4" i="9"/>
  <c r="F8" i="9"/>
  <c r="F16" i="9" s="1"/>
  <c r="F4" i="9"/>
  <c r="E8" i="9"/>
  <c r="E16" i="9" s="1"/>
  <c r="E4" i="9"/>
  <c r="D8" i="9"/>
  <c r="D16" i="9" s="1"/>
  <c r="D4" i="9"/>
  <c r="C8" i="9"/>
  <c r="C16" i="9" s="1"/>
  <c r="C4" i="9"/>
  <c r="V5" i="9" l="1"/>
  <c r="V7" i="9"/>
  <c r="U6" i="9"/>
  <c r="U7" i="9"/>
  <c r="T6" i="9"/>
  <c r="T7" i="9"/>
  <c r="S6" i="9"/>
  <c r="S7" i="9"/>
  <c r="R6" i="9"/>
  <c r="R7" i="9"/>
  <c r="Q6" i="9"/>
  <c r="Q7" i="9"/>
  <c r="P5" i="9"/>
  <c r="P7" i="9"/>
  <c r="O6" i="9"/>
  <c r="O7" i="9"/>
  <c r="N5" i="9"/>
  <c r="N7" i="9"/>
  <c r="M6" i="9"/>
  <c r="M7" i="9"/>
  <c r="L6" i="9"/>
  <c r="L7" i="9"/>
  <c r="K5" i="9"/>
  <c r="K7" i="9"/>
  <c r="J5" i="9"/>
  <c r="J7" i="9"/>
  <c r="I5" i="9"/>
  <c r="I7" i="9"/>
  <c r="H6" i="9"/>
  <c r="H7" i="9"/>
  <c r="G6" i="9"/>
  <c r="G7" i="9"/>
  <c r="F5" i="9"/>
  <c r="F7" i="9"/>
  <c r="E6" i="9"/>
  <c r="E7" i="9"/>
  <c r="D6" i="9"/>
  <c r="D7" i="9"/>
  <c r="C5" i="9"/>
  <c r="C7" i="9"/>
  <c r="K362" i="10"/>
  <c r="L362" i="10" s="1"/>
  <c r="J363" i="10" s="1"/>
  <c r="D361" i="10"/>
  <c r="C362" i="10"/>
  <c r="E361" i="10"/>
  <c r="F361" i="10" s="1"/>
  <c r="I363" i="10"/>
  <c r="R17" i="9"/>
  <c r="K17" i="9"/>
  <c r="O17" i="9"/>
  <c r="H17" i="9"/>
  <c r="V17" i="9"/>
  <c r="I17" i="9"/>
  <c r="S17" i="9"/>
  <c r="M17" i="9"/>
  <c r="G17" i="9"/>
  <c r="J17" i="9"/>
  <c r="T17" i="9"/>
  <c r="F17" i="9"/>
  <c r="C17" i="9"/>
  <c r="D17" i="9"/>
  <c r="Q5" i="9"/>
  <c r="N6" i="9"/>
  <c r="U5" i="9"/>
  <c r="I6" i="9"/>
  <c r="G5" i="9"/>
  <c r="E5" i="9"/>
  <c r="P6" i="9"/>
  <c r="J6" i="9"/>
  <c r="C6" i="9"/>
  <c r="S5" i="9"/>
  <c r="V6" i="9"/>
  <c r="H5" i="9"/>
  <c r="T5" i="9"/>
  <c r="K6" i="9"/>
  <c r="D5" i="9"/>
  <c r="R5" i="9"/>
  <c r="F6" i="9"/>
  <c r="M5" i="9"/>
  <c r="E17" i="9"/>
  <c r="O5" i="9"/>
  <c r="Q17" i="9"/>
  <c r="C21" i="9"/>
  <c r="L17" i="9"/>
  <c r="L5" i="9"/>
  <c r="N17" i="9"/>
  <c r="U17" i="9"/>
  <c r="K363" i="10" l="1"/>
  <c r="L363" i="10" s="1"/>
  <c r="J364" i="10" s="1"/>
  <c r="D362" i="10"/>
  <c r="E362" i="10" s="1"/>
  <c r="F362" i="10" s="1"/>
  <c r="C363" i="10"/>
  <c r="I364" i="10"/>
  <c r="C9" i="9"/>
  <c r="C10" i="9" s="1"/>
  <c r="C22" i="9"/>
  <c r="D21" i="9" s="1"/>
  <c r="D363" i="10" l="1"/>
  <c r="E363" i="10" s="1"/>
  <c r="F363" i="10" s="1"/>
  <c r="K364" i="10"/>
  <c r="L364" i="10" s="1"/>
  <c r="J365" i="10" s="1"/>
  <c r="C364" i="10"/>
  <c r="I365" i="10"/>
  <c r="D22" i="9"/>
  <c r="E21" i="9" s="1"/>
  <c r="D9" i="9"/>
  <c r="D10" i="9" s="1"/>
  <c r="D11" i="9" s="1"/>
  <c r="D12" i="9" s="1"/>
  <c r="D15" i="9" s="1"/>
  <c r="D18" i="9" s="1"/>
  <c r="C11" i="9"/>
  <c r="C12" i="9" s="1"/>
  <c r="C15" i="9" s="1"/>
  <c r="C18" i="9" s="1"/>
  <c r="D364" i="10" l="1"/>
  <c r="E364" i="10" s="1"/>
  <c r="F364" i="10" s="1"/>
  <c r="K365" i="10"/>
  <c r="L365" i="10" s="1"/>
  <c r="J366" i="10" s="1"/>
  <c r="C365" i="10"/>
  <c r="I366" i="10"/>
  <c r="E22" i="9"/>
  <c r="F21" i="9" s="1"/>
  <c r="E9" i="9"/>
  <c r="E10" i="9" s="1"/>
  <c r="E11" i="9" s="1"/>
  <c r="E12" i="9" s="1"/>
  <c r="E15" i="9" s="1"/>
  <c r="E18" i="9" s="1"/>
  <c r="D365" i="10" l="1"/>
  <c r="E365" i="10" s="1"/>
  <c r="F365" i="10" s="1"/>
  <c r="K366" i="10"/>
  <c r="L366" i="10" s="1"/>
  <c r="J367" i="10" s="1"/>
  <c r="C366" i="10"/>
  <c r="I367" i="10"/>
  <c r="F22" i="9"/>
  <c r="G21" i="9" s="1"/>
  <c r="F9" i="9"/>
  <c r="F10" i="9" s="1"/>
  <c r="F11" i="9" s="1"/>
  <c r="F12" i="9" s="1"/>
  <c r="F15" i="9" s="1"/>
  <c r="F18" i="9" s="1"/>
  <c r="K367" i="10" l="1"/>
  <c r="L367" i="10" s="1"/>
  <c r="J368" i="10" s="1"/>
  <c r="D366" i="10"/>
  <c r="C367" i="10"/>
  <c r="E366" i="10"/>
  <c r="F366" i="10" s="1"/>
  <c r="I368" i="10"/>
  <c r="G22" i="9"/>
  <c r="H21" i="9" s="1"/>
  <c r="G9" i="9"/>
  <c r="G10" i="9" s="1"/>
  <c r="G11" i="9" s="1"/>
  <c r="G12" i="9" s="1"/>
  <c r="G15" i="9" s="1"/>
  <c r="G18" i="9" s="1"/>
  <c r="D367" i="10" l="1"/>
  <c r="K368" i="10"/>
  <c r="L368" i="10" s="1"/>
  <c r="C368" i="10"/>
  <c r="E367" i="10"/>
  <c r="F367" i="10" s="1"/>
  <c r="H22" i="9"/>
  <c r="I21" i="9" s="1"/>
  <c r="H9" i="9"/>
  <c r="H10" i="9" s="1"/>
  <c r="H11" i="9" s="1"/>
  <c r="H12" i="9" s="1"/>
  <c r="H15" i="9" s="1"/>
  <c r="H18" i="9" s="1"/>
  <c r="D368" i="10" l="1"/>
  <c r="E368" i="10" s="1"/>
  <c r="F368" i="10" s="1"/>
  <c r="I22" i="9"/>
  <c r="J21" i="9" s="1"/>
  <c r="I9" i="9"/>
  <c r="I10" i="9" s="1"/>
  <c r="I11" i="9" s="1"/>
  <c r="I12" i="9" s="1"/>
  <c r="I15" i="9" s="1"/>
  <c r="I18" i="9" s="1"/>
  <c r="J22" i="9" l="1"/>
  <c r="K21" i="9" s="1"/>
  <c r="J9" i="9"/>
  <c r="J10" i="9" s="1"/>
  <c r="J11" i="9" s="1"/>
  <c r="J12" i="9" s="1"/>
  <c r="J15" i="9" s="1"/>
  <c r="J18" i="9" s="1"/>
  <c r="K22" i="9" l="1"/>
  <c r="L21" i="9" s="1"/>
  <c r="K9" i="9"/>
  <c r="K10" i="9" s="1"/>
  <c r="K11" i="9" s="1"/>
  <c r="K12" i="9" s="1"/>
  <c r="K15" i="9" s="1"/>
  <c r="K18" i="9" s="1"/>
  <c r="L22" i="9" l="1"/>
  <c r="M21" i="9" s="1"/>
  <c r="L9" i="9"/>
  <c r="L10" i="9" s="1"/>
  <c r="L11" i="9" s="1"/>
  <c r="L12" i="9" s="1"/>
  <c r="L15" i="9" s="1"/>
  <c r="L18" i="9" s="1"/>
  <c r="M22" i="9" l="1"/>
  <c r="N21" i="9" s="1"/>
  <c r="M9" i="9"/>
  <c r="M10" i="9" s="1"/>
  <c r="M11" i="9" s="1"/>
  <c r="M12" i="9" s="1"/>
  <c r="M15" i="9" s="1"/>
  <c r="M18" i="9" s="1"/>
  <c r="N22" i="9" l="1"/>
  <c r="O21" i="9" s="1"/>
  <c r="N9" i="9"/>
  <c r="N10" i="9" s="1"/>
  <c r="N11" i="9" s="1"/>
  <c r="N12" i="9" s="1"/>
  <c r="N15" i="9" s="1"/>
  <c r="N18" i="9" s="1"/>
  <c r="O22" i="9" l="1"/>
  <c r="P21" i="9" s="1"/>
  <c r="O9" i="9"/>
  <c r="O10" i="9" s="1"/>
  <c r="O11" i="9" s="1"/>
  <c r="O12" i="9" s="1"/>
  <c r="O15" i="9" s="1"/>
  <c r="O18" i="9" s="1"/>
  <c r="P22" i="9" l="1"/>
  <c r="Q21" i="9" s="1"/>
  <c r="P9" i="9"/>
  <c r="P10" i="9" s="1"/>
  <c r="P11" i="9" s="1"/>
  <c r="P12" i="9" s="1"/>
  <c r="P15" i="9" s="1"/>
  <c r="P18" i="9" s="1"/>
  <c r="Q22" i="9" l="1"/>
  <c r="R21" i="9" s="1"/>
  <c r="Q9" i="9"/>
  <c r="Q10" i="9" s="1"/>
  <c r="Q11" i="9" s="1"/>
  <c r="Q12" i="9" s="1"/>
  <c r="Q15" i="9" s="1"/>
  <c r="Q18" i="9" s="1"/>
  <c r="R22" i="9" l="1"/>
  <c r="S21" i="9" s="1"/>
  <c r="R9" i="9"/>
  <c r="R10" i="9" s="1"/>
  <c r="R11" i="9" s="1"/>
  <c r="R12" i="9" s="1"/>
  <c r="R15" i="9" s="1"/>
  <c r="R18" i="9" s="1"/>
  <c r="S22" i="9" l="1"/>
  <c r="T21" i="9" s="1"/>
  <c r="S9" i="9"/>
  <c r="S10" i="9" s="1"/>
  <c r="S11" i="9" s="1"/>
  <c r="S12" i="9" s="1"/>
  <c r="S15" i="9" s="1"/>
  <c r="S18" i="9" s="1"/>
  <c r="T22" i="9" l="1"/>
  <c r="U21" i="9" s="1"/>
  <c r="T9" i="9"/>
  <c r="T10" i="9" s="1"/>
  <c r="T11" i="9" s="1"/>
  <c r="T12" i="9" s="1"/>
  <c r="T15" i="9" s="1"/>
  <c r="T18" i="9" s="1"/>
  <c r="U22" i="9" l="1"/>
  <c r="V21" i="9" s="1"/>
  <c r="U9" i="9"/>
  <c r="U10" i="9" s="1"/>
  <c r="U11" i="9" s="1"/>
  <c r="U12" i="9" s="1"/>
  <c r="U15" i="9" s="1"/>
  <c r="U18" i="9" s="1"/>
  <c r="V22" i="9" l="1"/>
  <c r="V9" i="9"/>
  <c r="V10" i="9" s="1"/>
  <c r="V11" i="9" s="1"/>
  <c r="V12" i="9" s="1"/>
  <c r="V15" i="9" s="1"/>
  <c r="V18" i="9" s="1"/>
</calcChain>
</file>

<file path=xl/sharedStrings.xml><?xml version="1.0" encoding="utf-8"?>
<sst xmlns="http://schemas.openxmlformats.org/spreadsheetml/2006/main" count="98" uniqueCount="83">
  <si>
    <t>インプット（変数設定）</t>
  </si>
  <si>
    <t>物件価格</t>
  </si>
  <si>
    <t>建物価格割合</t>
  </si>
  <si>
    <t>土地価格割合</t>
  </si>
  <si>
    <t>建物法定耐用年数</t>
  </si>
  <si>
    <t>借入割合</t>
  </si>
  <si>
    <t>家賃下落率</t>
  </si>
  <si>
    <t>法人税等実効税率</t>
  </si>
  <si>
    <t>借入期間（年）</t>
  </si>
  <si>
    <t>金利（％）</t>
  </si>
  <si>
    <t>利回り（想定）</t>
  </si>
  <si>
    <t>項目＼年</t>
  </si>
  <si>
    <t>1年目</t>
  </si>
  <si>
    <t>2年目</t>
  </si>
  <si>
    <t>3年目</t>
  </si>
  <si>
    <t>4年目</t>
  </si>
  <si>
    <t>5年目</t>
  </si>
  <si>
    <t>6年目</t>
  </si>
  <si>
    <t>7年目</t>
  </si>
  <si>
    <t>8年目</t>
  </si>
  <si>
    <t>9年目</t>
  </si>
  <si>
    <t>10年目</t>
  </si>
  <si>
    <t>11年目</t>
  </si>
  <si>
    <t>12年目</t>
  </si>
  <si>
    <t>13年目</t>
  </si>
  <si>
    <t>14年目</t>
  </si>
  <si>
    <t>15年目</t>
  </si>
  <si>
    <t>16年目</t>
  </si>
  <si>
    <t>17年目</t>
  </si>
  <si>
    <t>18年目</t>
  </si>
  <si>
    <t>19年目</t>
  </si>
  <si>
    <t>20年目</t>
  </si>
  <si>
    <t>家賃収入</t>
  </si>
  <si>
    <t>減価償却費</t>
  </si>
  <si>
    <t>税引後利益</t>
  </si>
  <si>
    <t>役員報酬（円）</t>
  </si>
  <si>
    <t>管理費（％/家賃）</t>
  </si>
  <si>
    <t>その他経費（％/家賃）</t>
  </si>
  <si>
    <t>不動産投資シミュレーション（OUTPUT）</t>
  </si>
  <si>
    <t>役員報酬</t>
  </si>
  <si>
    <t>税引前利益</t>
  </si>
  <si>
    <t>減価償却費（非資金）</t>
  </si>
  <si>
    <t>元本返済（資金流出）</t>
  </si>
  <si>
    <t>空室率（％）</t>
  </si>
  <si>
    <t>【仕様メモ】</t>
  </si>
  <si>
    <t>管理費</t>
  </si>
  <si>
    <t>その他経費</t>
  </si>
  <si>
    <t>支払利息</t>
  </si>
  <si>
    <t>法人税等</t>
  </si>
  <si>
    <t>FCF</t>
  </si>
  <si>
    <t>期首借入金残高</t>
  </si>
  <si>
    <t>期末借入金残高</t>
  </si>
  <si>
    <t>上：簡易PL／中：簡易CF／下：簡易BS（横=年次 1～20年）</t>
  </si>
  <si>
    <t>・借入：元金均等（借入額/借入期間）。利息=期首残×金利。</t>
  </si>
  <si>
    <t>・家賃：物件価格×利回り×(1-家賃下落率)^(年-1)×(1-空室率)。</t>
  </si>
  <si>
    <t>・減価償却：建物（価格×建物割合）を定額で耐用年数按分。</t>
  </si>
  <si>
    <t>・役員報酬：固定額。</t>
  </si>
  <si>
    <t>・税金：MAX(税引前利益,0)×実効税率。</t>
  </si>
  <si>
    <t>・FCF：税引後利益＋減価償却?元本返済。</t>
  </si>
  <si>
    <t>円</t>
  </si>
  <si>
    <t>年</t>
  </si>
  <si>
    <t>※割合・率は 0～1 の小数で入力（例：5% → 0.05）。単位はC列参照。</t>
  </si>
  <si>
    <t>・管理費/その他：家賃に対する％（B列は小数入力、C列に％表記）。</t>
  </si>
  <si>
    <t>簡易CF</t>
    <rPh sb="0" eb="2">
      <t>カンイ</t>
    </rPh>
    <phoneticPr fontId="1"/>
  </si>
  <si>
    <t>簡易BS</t>
    <rPh sb="0" eb="2">
      <t>カンイ</t>
    </rPh>
    <phoneticPr fontId="1"/>
  </si>
  <si>
    <t>借入金額</t>
    <rPh sb="0" eb="2">
      <t>カリイレ</t>
    </rPh>
    <rPh sb="2" eb="4">
      <t>キンガク</t>
    </rPh>
    <phoneticPr fontId="1"/>
  </si>
  <si>
    <t>万円</t>
    <rPh sb="0" eb="2">
      <t>マンエン</t>
    </rPh>
    <phoneticPr fontId="1"/>
  </si>
  <si>
    <t>金利</t>
    <rPh sb="0" eb="2">
      <t>キンリ</t>
    </rPh>
    <phoneticPr fontId="1"/>
  </si>
  <si>
    <t>返済期間</t>
    <rPh sb="0" eb="4">
      <t>ヘンサイキカン</t>
    </rPh>
    <phoneticPr fontId="1"/>
  </si>
  <si>
    <t>年</t>
    <rPh sb="0" eb="1">
      <t>ネン</t>
    </rPh>
    <phoneticPr fontId="1"/>
  </si>
  <si>
    <t>毎月返済額</t>
    <rPh sb="0" eb="2">
      <t>マイツキ</t>
    </rPh>
    <rPh sb="2" eb="5">
      <t>ヘンサイガク</t>
    </rPh>
    <phoneticPr fontId="1"/>
  </si>
  <si>
    <t>円</t>
    <rPh sb="0" eb="1">
      <t>エン</t>
    </rPh>
    <phoneticPr fontId="1"/>
  </si>
  <si>
    <t>年間返済額</t>
    <rPh sb="0" eb="2">
      <t>ネンカン</t>
    </rPh>
    <rPh sb="2" eb="5">
      <t>ヘンサイガク</t>
    </rPh>
    <phoneticPr fontId="1"/>
  </si>
  <si>
    <t>利息</t>
    <rPh sb="0" eb="2">
      <t>リソク</t>
    </rPh>
    <phoneticPr fontId="1"/>
  </si>
  <si>
    <t>元金</t>
    <rPh sb="0" eb="2">
      <t>ガンキン</t>
    </rPh>
    <phoneticPr fontId="1"/>
  </si>
  <si>
    <t>ローン残高</t>
    <rPh sb="3" eb="5">
      <t>ザンダカ</t>
    </rPh>
    <phoneticPr fontId="1"/>
  </si>
  <si>
    <t>２年</t>
    <rPh sb="1" eb="2">
      <t>ネン</t>
    </rPh>
    <phoneticPr fontId="1"/>
  </si>
  <si>
    <t>３年</t>
    <rPh sb="1" eb="2">
      <t>ネン</t>
    </rPh>
    <phoneticPr fontId="1"/>
  </si>
  <si>
    <t>４年</t>
    <rPh sb="1" eb="2">
      <t>ネン</t>
    </rPh>
    <phoneticPr fontId="1"/>
  </si>
  <si>
    <t>５年目</t>
    <rPh sb="1" eb="2">
      <t>ネン</t>
    </rPh>
    <rPh sb="2" eb="3">
      <t>メ</t>
    </rPh>
    <phoneticPr fontId="1"/>
  </si>
  <si>
    <t>６年目</t>
    <rPh sb="1" eb="3">
      <t>ネンメ</t>
    </rPh>
    <phoneticPr fontId="1"/>
  </si>
  <si>
    <t>頭金割合</t>
    <phoneticPr fontId="1"/>
  </si>
  <si>
    <t>鉄骨造34年の20%</t>
    <rPh sb="0" eb="2">
      <t>テッコツ</t>
    </rPh>
    <rPh sb="2" eb="3">
      <t>ゾウ</t>
    </rPh>
    <rPh sb="5" eb="6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</si>
</sst>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.0%"/>
    <numFmt numFmtId="177" formatCode="&quot;¥&quot;#,##0_);[Red]\(&quot;¥&quot;#,##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505050"/>
      <name val="游ゴシック"/>
      <family val="2"/>
      <charset val="128"/>
      <scheme val="minor"/>
    </font>
    <font>
      <b/>
      <u val="singleAccounting"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5FF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3" fontId="0" fillId="2" borderId="0" xfId="0" applyNumberFormat="1" applyFill="1">
      <alignment vertical="center"/>
    </xf>
    <xf numFmtId="1" fontId="0" fillId="2" borderId="0" xfId="0" applyNumberFormat="1" applyFill="1">
      <alignment vertical="center"/>
    </xf>
    <xf numFmtId="0" fontId="3" fillId="0" borderId="0" xfId="0" applyFont="1">
      <alignment vertical="center"/>
    </xf>
    <xf numFmtId="9" fontId="0" fillId="2" borderId="0" xfId="0" applyNumberFormat="1" applyFill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 applyAlignment="1">
      <alignment horizontal="right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9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0" fontId="0" fillId="0" borderId="0" xfId="0" applyNumberFormat="1">
      <alignment vertical="center"/>
    </xf>
    <xf numFmtId="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31F8-D8C6-44F3-A98F-C3B7306DDBDA}">
  <sheetPr codeName="Sheet8"/>
  <dimension ref="A1:E25"/>
  <sheetViews>
    <sheetView showGridLines="0" workbookViewId="0">
      <selection activeCell="E6" sqref="E6"/>
    </sheetView>
  </sheetViews>
  <sheetFormatPr defaultRowHeight="18" x14ac:dyDescent="0.55000000000000004"/>
  <cols>
    <col min="1" max="1" width="23.08203125" customWidth="1"/>
    <col min="2" max="2" width="11.58203125" bestFit="1" customWidth="1"/>
    <col min="3" max="3" width="3.33203125" bestFit="1" customWidth="1"/>
  </cols>
  <sheetData>
    <row r="1" spans="1:5" x14ac:dyDescent="0.55000000000000004">
      <c r="A1" s="1" t="s">
        <v>0</v>
      </c>
    </row>
    <row r="2" spans="1:5" x14ac:dyDescent="0.55000000000000004">
      <c r="A2" t="s">
        <v>1</v>
      </c>
      <c r="B2" s="4">
        <v>100000000</v>
      </c>
      <c r="C2" t="s">
        <v>59</v>
      </c>
      <c r="E2" s="6" t="s">
        <v>61</v>
      </c>
    </row>
    <row r="3" spans="1:5" x14ac:dyDescent="0.55000000000000004">
      <c r="A3" t="s">
        <v>2</v>
      </c>
      <c r="B3" s="7">
        <v>0.5</v>
      </c>
    </row>
    <row r="4" spans="1:5" x14ac:dyDescent="0.55000000000000004">
      <c r="A4" t="s">
        <v>3</v>
      </c>
      <c r="B4" s="12">
        <f>1-B3</f>
        <v>0.5</v>
      </c>
    </row>
    <row r="5" spans="1:5" x14ac:dyDescent="0.55000000000000004">
      <c r="A5" t="s">
        <v>4</v>
      </c>
      <c r="B5" s="5">
        <v>7</v>
      </c>
      <c r="C5" t="s">
        <v>60</v>
      </c>
      <c r="E5" t="s">
        <v>82</v>
      </c>
    </row>
    <row r="6" spans="1:5" x14ac:dyDescent="0.55000000000000004">
      <c r="A6" t="s">
        <v>81</v>
      </c>
      <c r="B6" s="7">
        <v>0.05</v>
      </c>
    </row>
    <row r="7" spans="1:5" x14ac:dyDescent="0.55000000000000004">
      <c r="A7" t="s">
        <v>5</v>
      </c>
      <c r="B7" s="12">
        <v>0.95</v>
      </c>
    </row>
    <row r="8" spans="1:5" x14ac:dyDescent="0.55000000000000004">
      <c r="A8" t="s">
        <v>10</v>
      </c>
      <c r="B8" s="13">
        <v>0.09</v>
      </c>
    </row>
    <row r="9" spans="1:5" x14ac:dyDescent="0.55000000000000004">
      <c r="A9" t="s">
        <v>6</v>
      </c>
      <c r="B9" s="7">
        <v>0.01</v>
      </c>
    </row>
    <row r="10" spans="1:5" x14ac:dyDescent="0.55000000000000004">
      <c r="A10" t="s">
        <v>43</v>
      </c>
      <c r="B10" s="7">
        <v>0.05</v>
      </c>
    </row>
    <row r="11" spans="1:5" x14ac:dyDescent="0.55000000000000004">
      <c r="A11" t="s">
        <v>36</v>
      </c>
      <c r="B11" s="7">
        <v>0.15</v>
      </c>
    </row>
    <row r="12" spans="1:5" x14ac:dyDescent="0.55000000000000004">
      <c r="A12" t="s">
        <v>37</v>
      </c>
      <c r="B12" s="7">
        <v>0.05</v>
      </c>
    </row>
    <row r="13" spans="1:5" x14ac:dyDescent="0.55000000000000004">
      <c r="A13" t="s">
        <v>35</v>
      </c>
      <c r="B13" s="4">
        <v>0.03</v>
      </c>
    </row>
    <row r="14" spans="1:5" x14ac:dyDescent="0.55000000000000004">
      <c r="A14" t="s">
        <v>8</v>
      </c>
      <c r="B14" s="5">
        <v>35</v>
      </c>
      <c r="C14" t="s">
        <v>60</v>
      </c>
    </row>
    <row r="15" spans="1:5" x14ac:dyDescent="0.55000000000000004">
      <c r="A15" t="s">
        <v>9</v>
      </c>
      <c r="B15" s="13">
        <v>3.3000000000000002E-2</v>
      </c>
    </row>
    <row r="16" spans="1:5" x14ac:dyDescent="0.55000000000000004">
      <c r="A16" t="s">
        <v>7</v>
      </c>
      <c r="B16" s="7">
        <v>0.23</v>
      </c>
    </row>
    <row r="18" spans="1:1" x14ac:dyDescent="0.55000000000000004">
      <c r="A18" s="1" t="s">
        <v>44</v>
      </c>
    </row>
    <row r="19" spans="1:1" x14ac:dyDescent="0.55000000000000004">
      <c r="A19" t="s">
        <v>53</v>
      </c>
    </row>
    <row r="20" spans="1:1" x14ac:dyDescent="0.55000000000000004">
      <c r="A20" t="s">
        <v>54</v>
      </c>
    </row>
    <row r="21" spans="1:1" x14ac:dyDescent="0.55000000000000004">
      <c r="A21" t="s">
        <v>62</v>
      </c>
    </row>
    <row r="22" spans="1:1" x14ac:dyDescent="0.55000000000000004">
      <c r="A22" t="s">
        <v>55</v>
      </c>
    </row>
    <row r="23" spans="1:1" x14ac:dyDescent="0.55000000000000004">
      <c r="A23" t="s">
        <v>56</v>
      </c>
    </row>
    <row r="24" spans="1:1" x14ac:dyDescent="0.55000000000000004">
      <c r="A24" t="s">
        <v>57</v>
      </c>
    </row>
    <row r="25" spans="1:1" x14ac:dyDescent="0.55000000000000004">
      <c r="A25" t="s">
        <v>58</v>
      </c>
    </row>
  </sheetData>
  <phoneticPr fontId="1"/>
  <dataValidations count="3">
    <dataValidation type="whole" allowBlank="1" showInputMessage="1" showErrorMessage="1" errorTitle="範囲外の値" error="1～50 の整数（年）で入力してください。" promptTitle="年数（整数）" prompt="1～50 の整数で入力してください。" sqref="B14" xr:uid="{1101C4DE-9D06-4A2E-838B-9C6C794FC258}">
      <formula1>1</formula1>
      <formula2>50</formula2>
    </dataValidation>
    <dataValidation type="whole" allowBlank="1" showInputMessage="1" showErrorMessage="1" errorTitle="範囲外の値" error="1～60 の整数（年）で入力してください。" promptTitle="耐用年数（整数）" prompt="1～60 の整数で入力してください。" sqref="B5" xr:uid="{BF55FD17-4B6B-4B6E-A60F-F2B7DEAFCE4E}">
      <formula1>1</formula1>
      <formula2>60</formula2>
    </dataValidation>
    <dataValidation type="decimal" allowBlank="1" showInputMessage="1" showErrorMessage="1" errorTitle="範囲外の値" error="0以上1以下の小数で入力してください（例：0.05 = 5%）。" promptTitle="0～1で入力" sqref="B3:B4 B15 B6:B12 B16" xr:uid="{A8B8ADF7-EA53-4A9C-A256-18D0340F2D52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072B-44BD-4AEB-8592-35E86FF6CDF5}">
  <sheetPr codeName="Sheet9"/>
  <dimension ref="A1:ZZ22"/>
  <sheetViews>
    <sheetView showGridLines="0" tabSelected="1" zoomScale="80" zoomScaleNormal="80" workbookViewId="0">
      <selection activeCell="J8" sqref="J8:R8"/>
    </sheetView>
  </sheetViews>
  <sheetFormatPr defaultRowHeight="18" x14ac:dyDescent="0.55000000000000004"/>
  <cols>
    <col min="1" max="1" width="1.58203125" customWidth="1"/>
    <col min="2" max="2" width="22.58203125" customWidth="1"/>
    <col min="3" max="22" width="12.58203125" style="2" customWidth="1"/>
    <col min="23" max="702" width="9" style="2"/>
  </cols>
  <sheetData>
    <row r="1" spans="1:702" x14ac:dyDescent="0.55000000000000004">
      <c r="A1" s="1" t="s">
        <v>38</v>
      </c>
    </row>
    <row r="2" spans="1:702" x14ac:dyDescent="0.55000000000000004">
      <c r="A2" t="s">
        <v>52</v>
      </c>
    </row>
    <row r="3" spans="1:702" s="1" customFormat="1" ht="19.5" x14ac:dyDescent="0.55000000000000004">
      <c r="B3" s="8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9" t="s">
        <v>22</v>
      </c>
      <c r="N3" s="9" t="s">
        <v>23</v>
      </c>
      <c r="O3" s="9" t="s">
        <v>24</v>
      </c>
      <c r="P3" s="9" t="s">
        <v>25</v>
      </c>
      <c r="Q3" s="9" t="s">
        <v>26</v>
      </c>
      <c r="R3" s="9" t="s">
        <v>27</v>
      </c>
      <c r="S3" s="9" t="s">
        <v>28</v>
      </c>
      <c r="T3" s="9" t="s">
        <v>29</v>
      </c>
      <c r="U3" s="9" t="s">
        <v>30</v>
      </c>
      <c r="V3" s="9" t="s">
        <v>31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</row>
    <row r="4" spans="1:702" x14ac:dyDescent="0.55000000000000004">
      <c r="B4" s="10" t="s">
        <v>32</v>
      </c>
      <c r="C4" s="11">
        <f>INPUTS!$B$2*INPUTS!$B$8*(1-INPUTS!$B$9)^0*(1-INPUTS!$B$10)</f>
        <v>8550000</v>
      </c>
      <c r="D4" s="11">
        <f>INPUTS!$B$2*INPUTS!$B$8*(1-INPUTS!$B$9)^1*(1-INPUTS!$B$10)</f>
        <v>8464500</v>
      </c>
      <c r="E4" s="11">
        <f>INPUTS!$B$2*INPUTS!$B$8*(1-INPUTS!$B$9)^2*(1-INPUTS!$B$10)</f>
        <v>8379855</v>
      </c>
      <c r="F4" s="11">
        <f>INPUTS!$B$2*INPUTS!$B$8*(1-INPUTS!$B$9)^3*(1-INPUTS!$B$10)</f>
        <v>8296056.4499999993</v>
      </c>
      <c r="G4" s="11">
        <f>INPUTS!$B$2*INPUTS!$B$8*(1-INPUTS!$B$9)^4*(1-INPUTS!$B$10)</f>
        <v>8213095.8854999999</v>
      </c>
      <c r="H4" s="11">
        <f>INPUTS!$B$2*INPUTS!$B$8*(1-INPUTS!$B$9)^5*(1-INPUTS!$B$10)</f>
        <v>8130964.9266449986</v>
      </c>
      <c r="I4" s="11">
        <f>INPUTS!$B$2*INPUTS!$B$8*(1-INPUTS!$B$9)^6*(1-INPUTS!$B$10)</f>
        <v>8049655.2773785498</v>
      </c>
      <c r="J4" s="11">
        <f>INPUTS!$B$2*INPUTS!$B$8*(1-INPUTS!$B$9)^7*(1-INPUTS!$B$10)</f>
        <v>7969158.7246047631</v>
      </c>
      <c r="K4" s="11">
        <f>INPUTS!$B$2*INPUTS!$B$8*(1-INPUTS!$B$9)^8*(1-INPUTS!$B$10)</f>
        <v>7889467.1373587158</v>
      </c>
      <c r="L4" s="11">
        <f>INPUTS!$B$2*INPUTS!$B$8*(1-INPUTS!$B$9)^9*(1-INPUTS!$B$10)</f>
        <v>7810572.4659851277</v>
      </c>
      <c r="M4" s="11">
        <f>INPUTS!$B$2*INPUTS!$B$8*(1-INPUTS!$B$9)^10*(1-INPUTS!$B$10)</f>
        <v>7732466.741325276</v>
      </c>
      <c r="N4" s="11">
        <f>INPUTS!$B$2*INPUTS!$B$8*(1-INPUTS!$B$9)^11*(1-INPUTS!$B$10)</f>
        <v>7655142.0739120236</v>
      </c>
      <c r="O4" s="11">
        <f>INPUTS!$B$2*INPUTS!$B$8*(1-INPUTS!$B$9)^12*(1-INPUTS!$B$10)</f>
        <v>7578590.6531729037</v>
      </c>
      <c r="P4" s="11">
        <f>INPUTS!$B$2*INPUTS!$B$8*(1-INPUTS!$B$9)^13*(1-INPUTS!$B$10)</f>
        <v>7502804.746641174</v>
      </c>
      <c r="Q4" s="11">
        <f>INPUTS!$B$2*INPUTS!$B$8*(1-INPUTS!$B$9)^14*(1-INPUTS!$B$10)</f>
        <v>7427776.6991747618</v>
      </c>
      <c r="R4" s="11">
        <f>INPUTS!$B$2*INPUTS!$B$8*(1-INPUTS!$B$9)^15*(1-INPUTS!$B$10)</f>
        <v>7353498.9321830152</v>
      </c>
      <c r="S4" s="11">
        <f>INPUTS!$B$2*INPUTS!$B$8*(1-INPUTS!$B$9)^16*(1-INPUTS!$B$10)</f>
        <v>7279963.9428611845</v>
      </c>
      <c r="T4" s="11">
        <f>INPUTS!$B$2*INPUTS!$B$8*(1-INPUTS!$B$9)^17*(1-INPUTS!$B$10)</f>
        <v>7207164.3034325726</v>
      </c>
      <c r="U4" s="11">
        <f>INPUTS!$B$2*INPUTS!$B$8*(1-INPUTS!$B$9)^18*(1-INPUTS!$B$10)</f>
        <v>7135092.6603982467</v>
      </c>
      <c r="V4" s="11">
        <f>INPUTS!$B$2*INPUTS!$B$8*(1-INPUTS!$B$9)^19*(1-INPUTS!$B$10)</f>
        <v>7063741.7337942636</v>
      </c>
    </row>
    <row r="5" spans="1:702" x14ac:dyDescent="0.55000000000000004">
      <c r="B5" s="10" t="s">
        <v>45</v>
      </c>
      <c r="C5" s="11">
        <f>C4*INPUTS!$B$11</f>
        <v>1282500</v>
      </c>
      <c r="D5" s="11">
        <f>D4*INPUTS!$B$11</f>
        <v>1269675</v>
      </c>
      <c r="E5" s="11">
        <f>E4*INPUTS!$B$11</f>
        <v>1256978.25</v>
      </c>
      <c r="F5" s="11">
        <f>F4*INPUTS!$B$11</f>
        <v>1244408.4674999998</v>
      </c>
      <c r="G5" s="11">
        <f>G4*INPUTS!$B$11</f>
        <v>1231964.382825</v>
      </c>
      <c r="H5" s="11">
        <f>H4*INPUTS!$B$11</f>
        <v>1219644.7389967497</v>
      </c>
      <c r="I5" s="11">
        <f>I4*INPUTS!$B$11</f>
        <v>1207448.2916067825</v>
      </c>
      <c r="J5" s="11">
        <f>J4*INPUTS!$B$11</f>
        <v>1195373.8086907144</v>
      </c>
      <c r="K5" s="11">
        <f>K4*INPUTS!$B$11</f>
        <v>1183420.0706038072</v>
      </c>
      <c r="L5" s="11">
        <f>L4*INPUTS!$B$11</f>
        <v>1171585.8698977691</v>
      </c>
      <c r="M5" s="11">
        <f>M4*INPUTS!$B$11</f>
        <v>1159870.0111987914</v>
      </c>
      <c r="N5" s="11">
        <f>N4*INPUTS!$B$11</f>
        <v>1148271.3110868034</v>
      </c>
      <c r="O5" s="11">
        <f>O4*INPUTS!$B$11</f>
        <v>1136788.5979759356</v>
      </c>
      <c r="P5" s="11">
        <f>P4*INPUTS!$B$11</f>
        <v>1125420.711996176</v>
      </c>
      <c r="Q5" s="11">
        <f>Q4*INPUTS!$B$11</f>
        <v>1114166.5048762143</v>
      </c>
      <c r="R5" s="11">
        <f>R4*INPUTS!$B$11</f>
        <v>1103024.8398274523</v>
      </c>
      <c r="S5" s="11">
        <f>S4*INPUTS!$B$11</f>
        <v>1091994.5914291777</v>
      </c>
      <c r="T5" s="11">
        <f>T4*INPUTS!$B$11</f>
        <v>1081074.6455148859</v>
      </c>
      <c r="U5" s="11">
        <f>U4*INPUTS!$B$11</f>
        <v>1070263.8990597369</v>
      </c>
      <c r="V5" s="11">
        <f>V4*INPUTS!$B$11</f>
        <v>1059561.2600691395</v>
      </c>
    </row>
    <row r="6" spans="1:702" x14ac:dyDescent="0.55000000000000004">
      <c r="B6" s="10" t="s">
        <v>46</v>
      </c>
      <c r="C6" s="11">
        <f>C4*INPUTS!$B$12</f>
        <v>427500</v>
      </c>
      <c r="D6" s="11">
        <f>D4*INPUTS!$B$12</f>
        <v>423225</v>
      </c>
      <c r="E6" s="11">
        <f>E4*INPUTS!$B$12</f>
        <v>418992.75</v>
      </c>
      <c r="F6" s="11">
        <f>F4*INPUTS!$B$12</f>
        <v>414802.82250000001</v>
      </c>
      <c r="G6" s="11">
        <f>G4*INPUTS!$B$12</f>
        <v>410654.79427499999</v>
      </c>
      <c r="H6" s="11">
        <f>H4*INPUTS!$B$12</f>
        <v>406548.24633224995</v>
      </c>
      <c r="I6" s="11">
        <f>I4*INPUTS!$B$12</f>
        <v>402482.76386892749</v>
      </c>
      <c r="J6" s="11">
        <f>J4*INPUTS!$B$12</f>
        <v>398457.93623023818</v>
      </c>
      <c r="K6" s="11">
        <f>K4*INPUTS!$B$12</f>
        <v>394473.3568679358</v>
      </c>
      <c r="L6" s="11">
        <f>L4*INPUTS!$B$12</f>
        <v>390528.62329925643</v>
      </c>
      <c r="M6" s="11">
        <f>M4*INPUTS!$B$12</f>
        <v>386623.33706626383</v>
      </c>
      <c r="N6" s="11">
        <f>N4*INPUTS!$B$12</f>
        <v>382757.10369560122</v>
      </c>
      <c r="O6" s="11">
        <f>O4*INPUTS!$B$12</f>
        <v>378929.53265864518</v>
      </c>
      <c r="P6" s="11">
        <f>P4*INPUTS!$B$12</f>
        <v>375140.23733205872</v>
      </c>
      <c r="Q6" s="11">
        <f>Q4*INPUTS!$B$12</f>
        <v>371388.83495873812</v>
      </c>
      <c r="R6" s="11">
        <f>R4*INPUTS!$B$12</f>
        <v>367674.94660915079</v>
      </c>
      <c r="S6" s="11">
        <f>S4*INPUTS!$B$12</f>
        <v>363998.19714305922</v>
      </c>
      <c r="T6" s="11">
        <f>T4*INPUTS!$B$12</f>
        <v>360358.21517162863</v>
      </c>
      <c r="U6" s="11">
        <f>U4*INPUTS!$B$12</f>
        <v>356754.63301991235</v>
      </c>
      <c r="V6" s="11">
        <f>V4*INPUTS!$B$12</f>
        <v>353187.08668971318</v>
      </c>
    </row>
    <row r="7" spans="1:702" x14ac:dyDescent="0.55000000000000004">
      <c r="B7" s="10" t="s">
        <v>39</v>
      </c>
      <c r="C7" s="11">
        <f>C4*INPUTS!$B$13</f>
        <v>256500</v>
      </c>
      <c r="D7" s="11">
        <f>D4*INPUTS!$B$13</f>
        <v>253935</v>
      </c>
      <c r="E7" s="11">
        <f>E4*INPUTS!$B$13</f>
        <v>251395.65</v>
      </c>
      <c r="F7" s="11">
        <f>F4*INPUTS!$B$13</f>
        <v>248881.69349999996</v>
      </c>
      <c r="G7" s="11">
        <f>G4*INPUTS!$B$13</f>
        <v>246392.87656499998</v>
      </c>
      <c r="H7" s="11">
        <f>H4*INPUTS!$B$13</f>
        <v>243928.94779934996</v>
      </c>
      <c r="I7" s="11">
        <f>I4*INPUTS!$B$13</f>
        <v>241489.65832135649</v>
      </c>
      <c r="J7" s="11">
        <f>J4*INPUTS!$B$13</f>
        <v>239074.76173814287</v>
      </c>
      <c r="K7" s="11">
        <f>K4*INPUTS!$B$13</f>
        <v>236684.01412076145</v>
      </c>
      <c r="L7" s="11">
        <f>L4*INPUTS!$B$13</f>
        <v>234317.17397955383</v>
      </c>
      <c r="M7" s="11">
        <f>M4*INPUTS!$B$13</f>
        <v>231974.00223975827</v>
      </c>
      <c r="N7" s="11">
        <f>N4*INPUTS!$B$13</f>
        <v>229654.26221736069</v>
      </c>
      <c r="O7" s="11">
        <f>O4*INPUTS!$B$13</f>
        <v>227357.71959518711</v>
      </c>
      <c r="P7" s="11">
        <f>P4*INPUTS!$B$13</f>
        <v>225084.14239923522</v>
      </c>
      <c r="Q7" s="11">
        <f>Q4*INPUTS!$B$13</f>
        <v>222833.30097524283</v>
      </c>
      <c r="R7" s="11">
        <f>R4*INPUTS!$B$13</f>
        <v>220604.96796549045</v>
      </c>
      <c r="S7" s="11">
        <f>S4*INPUTS!$B$13</f>
        <v>218398.91828583553</v>
      </c>
      <c r="T7" s="11">
        <f>T4*INPUTS!$B$13</f>
        <v>216214.92910297718</v>
      </c>
      <c r="U7" s="11">
        <f>U4*INPUTS!$B$13</f>
        <v>214052.7798119474</v>
      </c>
      <c r="V7" s="11">
        <f>V4*INPUTS!$B$13</f>
        <v>211912.25201382791</v>
      </c>
    </row>
    <row r="8" spans="1:702" x14ac:dyDescent="0.55000000000000004">
      <c r="B8" s="10" t="s">
        <v>33</v>
      </c>
      <c r="C8" s="11">
        <f>INPUTS!$B$2*INPUTS!$B$3/INPUTS!$B$5</f>
        <v>7142857.1428571427</v>
      </c>
      <c r="D8" s="11">
        <f>INPUTS!$B$2*INPUTS!$B$3/INPUTS!$B$5</f>
        <v>7142857.1428571427</v>
      </c>
      <c r="E8" s="11">
        <f>INPUTS!$B$2*INPUTS!$B$3/INPUTS!$B$5</f>
        <v>7142857.1428571427</v>
      </c>
      <c r="F8" s="11">
        <f>INPUTS!$B$2*INPUTS!$B$3/INPUTS!$B$5</f>
        <v>7142857.1428571427</v>
      </c>
      <c r="G8" s="11">
        <f>INPUTS!$B$2*INPUTS!$B$3/INPUTS!$B$5</f>
        <v>7142857.1428571427</v>
      </c>
      <c r="H8" s="11">
        <f>INPUTS!$B$2*INPUTS!$B$3/INPUTS!$B$5</f>
        <v>7142857.1428571427</v>
      </c>
      <c r="I8" s="11">
        <f>INPUTS!$B$2*INPUTS!$B$3/INPUTS!$B$5</f>
        <v>7142857.1428571427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702" x14ac:dyDescent="0.55000000000000004">
      <c r="B9" s="10" t="s">
        <v>47</v>
      </c>
      <c r="C9" s="11">
        <f>C21*INPUTS!$B$15</f>
        <v>3135000</v>
      </c>
      <c r="D9" s="11">
        <f ca="1">D21*INPUTS!$B$15</f>
        <v>3045428.5714285714</v>
      </c>
      <c r="E9" s="11">
        <f ca="1">E21*INPUTS!$B$15</f>
        <v>2955857.1428571427</v>
      </c>
      <c r="F9" s="11">
        <f ca="1">F21*INPUTS!$B$15</f>
        <v>2866285.7142857141</v>
      </c>
      <c r="G9" s="11">
        <f ca="1">G21*INPUTS!$B$15</f>
        <v>2776714.2857142854</v>
      </c>
      <c r="H9" s="11">
        <f ca="1">H21*INPUTS!$B$15</f>
        <v>2687142.8571428568</v>
      </c>
      <c r="I9" s="11">
        <f ca="1">I21*INPUTS!$B$15</f>
        <v>2597571.4285714282</v>
      </c>
      <c r="J9" s="11">
        <f ca="1">J21*INPUTS!$B$15</f>
        <v>2507999.9999999995</v>
      </c>
      <c r="K9" s="11">
        <f ca="1">K21*INPUTS!$B$15</f>
        <v>2418428.5714285709</v>
      </c>
      <c r="L9" s="11">
        <f ca="1">L21*INPUTS!$B$15</f>
        <v>2328857.1428571423</v>
      </c>
      <c r="M9" s="11">
        <f ca="1">M21*INPUTS!$B$15</f>
        <v>2239285.7142857136</v>
      </c>
      <c r="N9" s="11">
        <f ca="1">N21*INPUTS!$B$15</f>
        <v>2149714.285714285</v>
      </c>
      <c r="O9" s="11">
        <f ca="1">O21*INPUTS!$B$15</f>
        <v>2060142.8571428563</v>
      </c>
      <c r="P9" s="11">
        <f ca="1">P21*INPUTS!$B$15</f>
        <v>1970571.4285714277</v>
      </c>
      <c r="Q9" s="11">
        <f ca="1">Q21*INPUTS!$B$15</f>
        <v>1880999.9999999991</v>
      </c>
      <c r="R9" s="11">
        <f ca="1">R21*INPUTS!$B$15</f>
        <v>1791428.5714285704</v>
      </c>
      <c r="S9" s="11">
        <f ca="1">S21*INPUTS!$B$15</f>
        <v>1701857.1428571418</v>
      </c>
      <c r="T9" s="11">
        <f ca="1">T21*INPUTS!$B$15</f>
        <v>1612285.7142857132</v>
      </c>
      <c r="U9" s="11">
        <f ca="1">U21*INPUTS!$B$15</f>
        <v>1522714.2857142845</v>
      </c>
      <c r="V9" s="11">
        <f ca="1">V21*INPUTS!$B$15</f>
        <v>1433142.8571428559</v>
      </c>
    </row>
    <row r="10" spans="1:702" x14ac:dyDescent="0.55000000000000004">
      <c r="B10" s="10" t="s">
        <v>40</v>
      </c>
      <c r="C10" s="11">
        <f t="shared" ref="C10:V10" si="0">C4-C5-C6-C7-C8-C9</f>
        <v>-3694357.1428571427</v>
      </c>
      <c r="D10" s="11">
        <f t="shared" ca="1" si="0"/>
        <v>-3670620.7142857141</v>
      </c>
      <c r="E10" s="11">
        <f t="shared" ca="1" si="0"/>
        <v>-3646225.9357142858</v>
      </c>
      <c r="F10" s="11">
        <f t="shared" ca="1" si="0"/>
        <v>-3621179.3906428567</v>
      </c>
      <c r="G10" s="11">
        <f t="shared" ca="1" si="0"/>
        <v>-3595487.5967364283</v>
      </c>
      <c r="H10" s="11">
        <f t="shared" ca="1" si="0"/>
        <v>-3569157.0064833504</v>
      </c>
      <c r="I10" s="11">
        <f t="shared" ca="1" si="0"/>
        <v>-3542194.0078470875</v>
      </c>
      <c r="J10" s="11">
        <f t="shared" ca="1" si="0"/>
        <v>3628252.2179456674</v>
      </c>
      <c r="K10" s="11">
        <f t="shared" ca="1" si="0"/>
        <v>3656461.1243376406</v>
      </c>
      <c r="L10" s="11">
        <f t="shared" ca="1" si="0"/>
        <v>3685283.6559514073</v>
      </c>
      <c r="M10" s="11">
        <f t="shared" ca="1" si="0"/>
        <v>3714713.6765347486</v>
      </c>
      <c r="N10" s="11">
        <f t="shared" ca="1" si="0"/>
        <v>3744745.1111979731</v>
      </c>
      <c r="O10" s="11">
        <f t="shared" ca="1" si="0"/>
        <v>3775371.9458002793</v>
      </c>
      <c r="P10" s="11">
        <f t="shared" ca="1" si="0"/>
        <v>3806588.2263422753</v>
      </c>
      <c r="Q10" s="11">
        <f t="shared" ca="1" si="0"/>
        <v>3838388.0583645683</v>
      </c>
      <c r="R10" s="11">
        <f t="shared" ca="1" si="0"/>
        <v>3870765.6063523511</v>
      </c>
      <c r="S10" s="11">
        <f t="shared" ca="1" si="0"/>
        <v>3903715.0931459703</v>
      </c>
      <c r="T10" s="11">
        <f t="shared" ca="1" si="0"/>
        <v>3937230.7993573681</v>
      </c>
      <c r="U10" s="11">
        <f t="shared" ca="1" si="0"/>
        <v>3971307.0627923654</v>
      </c>
      <c r="V10" s="11">
        <f t="shared" ca="1" si="0"/>
        <v>4005938.2778787273</v>
      </c>
    </row>
    <row r="11" spans="1:702" x14ac:dyDescent="0.55000000000000004">
      <c r="B11" s="10" t="s">
        <v>48</v>
      </c>
      <c r="C11" s="11">
        <f>MAX(C10,0)*INPUTS!$B$16</f>
        <v>0</v>
      </c>
      <c r="D11" s="11">
        <f ca="1">MAX(D10,0)*INPUTS!$B$16</f>
        <v>0</v>
      </c>
      <c r="E11" s="11">
        <f ca="1">MAX(E10,0)*INPUTS!$B$16</f>
        <v>0</v>
      </c>
      <c r="F11" s="11">
        <f ca="1">MAX(F10,0)*INPUTS!$B$16</f>
        <v>0</v>
      </c>
      <c r="G11" s="11">
        <f ca="1">MAX(G10,0)*INPUTS!$B$16</f>
        <v>0</v>
      </c>
      <c r="H11" s="11">
        <f ca="1">MAX(H10,0)*INPUTS!$B$16</f>
        <v>0</v>
      </c>
      <c r="I11" s="11">
        <f ca="1">MAX(I10,0)*INPUTS!$B$16</f>
        <v>0</v>
      </c>
      <c r="J11" s="11">
        <f ca="1">MAX(J10,0)*INPUTS!$B$16</f>
        <v>834498.01012750354</v>
      </c>
      <c r="K11" s="11">
        <f ca="1">MAX(K10,0)*INPUTS!$B$16</f>
        <v>840986.05859765736</v>
      </c>
      <c r="L11" s="11">
        <f ca="1">MAX(L10,0)*INPUTS!$B$16</f>
        <v>847615.24086882372</v>
      </c>
      <c r="M11" s="11">
        <f ca="1">MAX(M10,0)*INPUTS!$B$16</f>
        <v>854384.14560299227</v>
      </c>
      <c r="N11" s="11">
        <f ca="1">MAX(N10,0)*INPUTS!$B$16</f>
        <v>861291.37557553384</v>
      </c>
      <c r="O11" s="11">
        <f ca="1">MAX(O10,0)*INPUTS!$B$16</f>
        <v>868335.54753406427</v>
      </c>
      <c r="P11" s="11">
        <f ca="1">MAX(P10,0)*INPUTS!$B$16</f>
        <v>875515.2920587234</v>
      </c>
      <c r="Q11" s="11">
        <f ca="1">MAX(Q10,0)*INPUTS!$B$16</f>
        <v>882829.25342385075</v>
      </c>
      <c r="R11" s="11">
        <f ca="1">MAX(R10,0)*INPUTS!$B$16</f>
        <v>890276.0894610408</v>
      </c>
      <c r="S11" s="11">
        <f ca="1">MAX(S10,0)*INPUTS!$B$16</f>
        <v>897854.47142357321</v>
      </c>
      <c r="T11" s="11">
        <f ca="1">MAX(T10,0)*INPUTS!$B$16</f>
        <v>905563.08385219472</v>
      </c>
      <c r="U11" s="11">
        <f ca="1">MAX(U10,0)*INPUTS!$B$16</f>
        <v>913400.62444224406</v>
      </c>
      <c r="V11" s="11">
        <f ca="1">MAX(V10,0)*INPUTS!$B$16</f>
        <v>921365.80391210737</v>
      </c>
    </row>
    <row r="12" spans="1:702" x14ac:dyDescent="0.55000000000000004">
      <c r="B12" s="10" t="s">
        <v>34</v>
      </c>
      <c r="C12" s="11">
        <f t="shared" ref="C12:V12" si="1">C10-C11</f>
        <v>-3694357.1428571427</v>
      </c>
      <c r="D12" s="11">
        <f t="shared" ca="1" si="1"/>
        <v>-3670620.7142857141</v>
      </c>
      <c r="E12" s="11">
        <f t="shared" ca="1" si="1"/>
        <v>-3646225.9357142858</v>
      </c>
      <c r="F12" s="11">
        <f t="shared" ca="1" si="1"/>
        <v>-3621179.3906428567</v>
      </c>
      <c r="G12" s="11">
        <f t="shared" ca="1" si="1"/>
        <v>-3595487.5967364283</v>
      </c>
      <c r="H12" s="11">
        <f t="shared" ca="1" si="1"/>
        <v>-3569157.0064833504</v>
      </c>
      <c r="I12" s="11">
        <f t="shared" ca="1" si="1"/>
        <v>-3542194.0078470875</v>
      </c>
      <c r="J12" s="11">
        <f t="shared" ca="1" si="1"/>
        <v>2793754.207818164</v>
      </c>
      <c r="K12" s="11">
        <f t="shared" ca="1" si="1"/>
        <v>2815475.0657399832</v>
      </c>
      <c r="L12" s="11">
        <f t="shared" ca="1" si="1"/>
        <v>2837668.4150825837</v>
      </c>
      <c r="M12" s="11">
        <f t="shared" ca="1" si="1"/>
        <v>2860329.5309317564</v>
      </c>
      <c r="N12" s="11">
        <f t="shared" ca="1" si="1"/>
        <v>2883453.7356224395</v>
      </c>
      <c r="O12" s="11">
        <f t="shared" ca="1" si="1"/>
        <v>2907036.3982662149</v>
      </c>
      <c r="P12" s="11">
        <f t="shared" ca="1" si="1"/>
        <v>2931072.9342835518</v>
      </c>
      <c r="Q12" s="11">
        <f t="shared" ca="1" si="1"/>
        <v>2955558.8049407173</v>
      </c>
      <c r="R12" s="11">
        <f t="shared" ca="1" si="1"/>
        <v>2980489.5168913105</v>
      </c>
      <c r="S12" s="11">
        <f t="shared" ca="1" si="1"/>
        <v>3005860.6217223969</v>
      </c>
      <c r="T12" s="11">
        <f t="shared" ca="1" si="1"/>
        <v>3031667.7155051734</v>
      </c>
      <c r="U12" s="11">
        <f t="shared" ca="1" si="1"/>
        <v>3057906.4383501215</v>
      </c>
      <c r="V12" s="11">
        <f t="shared" ca="1" si="1"/>
        <v>3084572.4739666199</v>
      </c>
    </row>
    <row r="14" spans="1:702" x14ac:dyDescent="0.55000000000000004">
      <c r="B14" s="1" t="s">
        <v>63</v>
      </c>
    </row>
    <row r="15" spans="1:702" x14ac:dyDescent="0.55000000000000004">
      <c r="B15" s="10" t="s">
        <v>34</v>
      </c>
      <c r="C15" s="11">
        <f t="shared" ref="C15:V15" si="2">C12</f>
        <v>-3694357.1428571427</v>
      </c>
      <c r="D15" s="11">
        <f t="shared" ca="1" si="2"/>
        <v>-3670620.7142857141</v>
      </c>
      <c r="E15" s="11">
        <f t="shared" ca="1" si="2"/>
        <v>-3646225.9357142858</v>
      </c>
      <c r="F15" s="11">
        <f t="shared" ca="1" si="2"/>
        <v>-3621179.3906428567</v>
      </c>
      <c r="G15" s="11">
        <f t="shared" ca="1" si="2"/>
        <v>-3595487.5967364283</v>
      </c>
      <c r="H15" s="11">
        <f t="shared" ca="1" si="2"/>
        <v>-3569157.0064833504</v>
      </c>
      <c r="I15" s="11">
        <f t="shared" ca="1" si="2"/>
        <v>-3542194.0078470875</v>
      </c>
      <c r="J15" s="11">
        <f t="shared" ca="1" si="2"/>
        <v>2793754.207818164</v>
      </c>
      <c r="K15" s="11">
        <f t="shared" ca="1" si="2"/>
        <v>2815475.0657399832</v>
      </c>
      <c r="L15" s="11">
        <f t="shared" ca="1" si="2"/>
        <v>2837668.4150825837</v>
      </c>
      <c r="M15" s="11">
        <f t="shared" ca="1" si="2"/>
        <v>2860329.5309317564</v>
      </c>
      <c r="N15" s="11">
        <f t="shared" ca="1" si="2"/>
        <v>2883453.7356224395</v>
      </c>
      <c r="O15" s="11">
        <f t="shared" ca="1" si="2"/>
        <v>2907036.3982662149</v>
      </c>
      <c r="P15" s="11">
        <f t="shared" ca="1" si="2"/>
        <v>2931072.9342835518</v>
      </c>
      <c r="Q15" s="11">
        <f t="shared" ca="1" si="2"/>
        <v>2955558.8049407173</v>
      </c>
      <c r="R15" s="11">
        <f t="shared" ca="1" si="2"/>
        <v>2980489.5168913105</v>
      </c>
      <c r="S15" s="11">
        <f t="shared" ca="1" si="2"/>
        <v>3005860.6217223969</v>
      </c>
      <c r="T15" s="11">
        <f t="shared" ca="1" si="2"/>
        <v>3031667.7155051734</v>
      </c>
      <c r="U15" s="11">
        <f t="shared" ca="1" si="2"/>
        <v>3057906.4383501215</v>
      </c>
      <c r="V15" s="11">
        <f t="shared" ca="1" si="2"/>
        <v>3084572.4739666199</v>
      </c>
    </row>
    <row r="16" spans="1:702" x14ac:dyDescent="0.55000000000000004">
      <c r="B16" s="10" t="s">
        <v>41</v>
      </c>
      <c r="C16" s="11">
        <f t="shared" ref="C16:V16" si="3">C8</f>
        <v>7142857.1428571427</v>
      </c>
      <c r="D16" s="11">
        <f t="shared" si="3"/>
        <v>7142857.1428571427</v>
      </c>
      <c r="E16" s="11">
        <f t="shared" si="3"/>
        <v>7142857.1428571427</v>
      </c>
      <c r="F16" s="11">
        <f t="shared" si="3"/>
        <v>7142857.1428571427</v>
      </c>
      <c r="G16" s="11">
        <f t="shared" si="3"/>
        <v>7142857.1428571427</v>
      </c>
      <c r="H16" s="11">
        <f t="shared" si="3"/>
        <v>7142857.1428571427</v>
      </c>
      <c r="I16" s="11">
        <f t="shared" si="3"/>
        <v>7142857.1428571427</v>
      </c>
      <c r="J16" s="11">
        <f t="shared" si="3"/>
        <v>0</v>
      </c>
      <c r="K16" s="11">
        <f t="shared" si="3"/>
        <v>0</v>
      </c>
      <c r="L16" s="11">
        <f t="shared" si="3"/>
        <v>0</v>
      </c>
      <c r="M16" s="11">
        <f t="shared" si="3"/>
        <v>0</v>
      </c>
      <c r="N16" s="11">
        <f t="shared" si="3"/>
        <v>0</v>
      </c>
      <c r="O16" s="11">
        <f t="shared" si="3"/>
        <v>0</v>
      </c>
      <c r="P16" s="11">
        <f t="shared" si="3"/>
        <v>0</v>
      </c>
      <c r="Q16" s="11">
        <f t="shared" si="3"/>
        <v>0</v>
      </c>
      <c r="R16" s="11">
        <f t="shared" si="3"/>
        <v>0</v>
      </c>
      <c r="S16" s="11">
        <f t="shared" si="3"/>
        <v>0</v>
      </c>
      <c r="T16" s="11">
        <f t="shared" si="3"/>
        <v>0</v>
      </c>
      <c r="U16" s="11">
        <f t="shared" si="3"/>
        <v>0</v>
      </c>
      <c r="V16" s="11">
        <f t="shared" si="3"/>
        <v>0</v>
      </c>
    </row>
    <row r="17" spans="2:22" x14ac:dyDescent="0.55000000000000004">
      <c r="B17" s="10" t="s">
        <v>42</v>
      </c>
      <c r="C17" s="11">
        <f>INPUTS!$B$2*INPUTS!$B$7/INPUTS!$B$14</f>
        <v>2714285.7142857141</v>
      </c>
      <c r="D17" s="11">
        <f>INPUTS!$B$2*INPUTS!$B$7/INPUTS!$B$14</f>
        <v>2714285.7142857141</v>
      </c>
      <c r="E17" s="11">
        <f>INPUTS!$B$2*INPUTS!$B$7/INPUTS!$B$14</f>
        <v>2714285.7142857141</v>
      </c>
      <c r="F17" s="11">
        <f>INPUTS!$B$2*INPUTS!$B$7/INPUTS!$B$14</f>
        <v>2714285.7142857141</v>
      </c>
      <c r="G17" s="11">
        <f>INPUTS!$B$2*INPUTS!$B$7/INPUTS!$B$14</f>
        <v>2714285.7142857141</v>
      </c>
      <c r="H17" s="11">
        <f>INPUTS!$B$2*INPUTS!$B$7/INPUTS!$B$14</f>
        <v>2714285.7142857141</v>
      </c>
      <c r="I17" s="11">
        <f>INPUTS!$B$2*INPUTS!$B$7/INPUTS!$B$14</f>
        <v>2714285.7142857141</v>
      </c>
      <c r="J17" s="11">
        <f>INPUTS!$B$2*INPUTS!$B$7/INPUTS!$B$14</f>
        <v>2714285.7142857141</v>
      </c>
      <c r="K17" s="11">
        <f>INPUTS!$B$2*INPUTS!$B$7/INPUTS!$B$14</f>
        <v>2714285.7142857141</v>
      </c>
      <c r="L17" s="11">
        <f>INPUTS!$B$2*INPUTS!$B$7/INPUTS!$B$14</f>
        <v>2714285.7142857141</v>
      </c>
      <c r="M17" s="11">
        <f>INPUTS!$B$2*INPUTS!$B$7/INPUTS!$B$14</f>
        <v>2714285.7142857141</v>
      </c>
      <c r="N17" s="11">
        <f>INPUTS!$B$2*INPUTS!$B$7/INPUTS!$B$14</f>
        <v>2714285.7142857141</v>
      </c>
      <c r="O17" s="11">
        <f>INPUTS!$B$2*INPUTS!$B$7/INPUTS!$B$14</f>
        <v>2714285.7142857141</v>
      </c>
      <c r="P17" s="11">
        <f>INPUTS!$B$2*INPUTS!$B$7/INPUTS!$B$14</f>
        <v>2714285.7142857141</v>
      </c>
      <c r="Q17" s="11">
        <f>INPUTS!$B$2*INPUTS!$B$7/INPUTS!$B$14</f>
        <v>2714285.7142857141</v>
      </c>
      <c r="R17" s="11">
        <f>INPUTS!$B$2*INPUTS!$B$7/INPUTS!$B$14</f>
        <v>2714285.7142857141</v>
      </c>
      <c r="S17" s="11">
        <f>INPUTS!$B$2*INPUTS!$B$7/INPUTS!$B$14</f>
        <v>2714285.7142857141</v>
      </c>
      <c r="T17" s="11">
        <f>INPUTS!$B$2*INPUTS!$B$7/INPUTS!$B$14</f>
        <v>2714285.7142857141</v>
      </c>
      <c r="U17" s="11">
        <f>INPUTS!$B$2*INPUTS!$B$7/INPUTS!$B$14</f>
        <v>2714285.7142857141</v>
      </c>
      <c r="V17" s="11">
        <f>INPUTS!$B$2*INPUTS!$B$7/INPUTS!$B$14</f>
        <v>2714285.7142857141</v>
      </c>
    </row>
    <row r="18" spans="2:22" x14ac:dyDescent="0.55000000000000004">
      <c r="B18" s="10" t="s">
        <v>49</v>
      </c>
      <c r="C18" s="11">
        <f t="shared" ref="C18:V18" si="4">C15+C16-C17</f>
        <v>734214.28571428591</v>
      </c>
      <c r="D18" s="11">
        <f t="shared" ca="1" si="4"/>
        <v>757950.71428571455</v>
      </c>
      <c r="E18" s="11">
        <f t="shared" ca="1" si="4"/>
        <v>782345.49285714282</v>
      </c>
      <c r="F18" s="11">
        <f t="shared" ca="1" si="4"/>
        <v>807392.03792857192</v>
      </c>
      <c r="G18" s="11">
        <f t="shared" ca="1" si="4"/>
        <v>833083.83183500031</v>
      </c>
      <c r="H18" s="11">
        <f t="shared" ca="1" si="4"/>
        <v>859414.42208807822</v>
      </c>
      <c r="I18" s="11">
        <f t="shared" ca="1" si="4"/>
        <v>886377.42072434118</v>
      </c>
      <c r="J18" s="11">
        <f t="shared" ca="1" si="4"/>
        <v>79468.493532449938</v>
      </c>
      <c r="K18" s="11">
        <f t="shared" ca="1" si="4"/>
        <v>101189.35145426914</v>
      </c>
      <c r="L18" s="11">
        <f t="shared" ca="1" si="4"/>
        <v>123382.70079686958</v>
      </c>
      <c r="M18" s="11">
        <f t="shared" ca="1" si="4"/>
        <v>146043.81664604228</v>
      </c>
      <c r="N18" s="11">
        <f t="shared" ca="1" si="4"/>
        <v>169168.02133672545</v>
      </c>
      <c r="O18" s="11">
        <f t="shared" ca="1" si="4"/>
        <v>192750.68398050079</v>
      </c>
      <c r="P18" s="11">
        <f t="shared" ca="1" si="4"/>
        <v>216787.21999783767</v>
      </c>
      <c r="Q18" s="11">
        <f t="shared" ca="1" si="4"/>
        <v>241273.09065500321</v>
      </c>
      <c r="R18" s="11">
        <f t="shared" ca="1" si="4"/>
        <v>266203.80260559637</v>
      </c>
      <c r="S18" s="11">
        <f t="shared" ca="1" si="4"/>
        <v>291574.90743668284</v>
      </c>
      <c r="T18" s="11">
        <f t="shared" ca="1" si="4"/>
        <v>317382.00121945934</v>
      </c>
      <c r="U18" s="11">
        <f t="shared" ca="1" si="4"/>
        <v>343620.7240644074</v>
      </c>
      <c r="V18" s="11">
        <f t="shared" ca="1" si="4"/>
        <v>370286.75968090585</v>
      </c>
    </row>
    <row r="20" spans="2:22" x14ac:dyDescent="0.55000000000000004">
      <c r="B20" s="1" t="s">
        <v>64</v>
      </c>
    </row>
    <row r="21" spans="2:22" x14ac:dyDescent="0.55000000000000004">
      <c r="B21" s="10" t="s">
        <v>50</v>
      </c>
      <c r="C21" s="11">
        <f>INPUTS!$B$2*INPUTS!$B$7</f>
        <v>95000000</v>
      </c>
      <c r="D21" s="11">
        <f t="shared" ref="D21:V21" ca="1" si="5">OFFSET(D21,1,-1)</f>
        <v>92285714.285714284</v>
      </c>
      <c r="E21" s="11">
        <f t="shared" ca="1" si="5"/>
        <v>89571428.571428567</v>
      </c>
      <c r="F21" s="11">
        <f t="shared" ca="1" si="5"/>
        <v>86857142.857142851</v>
      </c>
      <c r="G21" s="11">
        <f t="shared" ca="1" si="5"/>
        <v>84142857.142857134</v>
      </c>
      <c r="H21" s="11">
        <f t="shared" ca="1" si="5"/>
        <v>81428571.428571418</v>
      </c>
      <c r="I21" s="11">
        <f t="shared" ca="1" si="5"/>
        <v>78714285.714285702</v>
      </c>
      <c r="J21" s="11">
        <f t="shared" ca="1" si="5"/>
        <v>75999999.999999985</v>
      </c>
      <c r="K21" s="11">
        <f t="shared" ca="1" si="5"/>
        <v>73285714.285714269</v>
      </c>
      <c r="L21" s="11">
        <f t="shared" ca="1" si="5"/>
        <v>70571428.571428552</v>
      </c>
      <c r="M21" s="11">
        <f t="shared" ca="1" si="5"/>
        <v>67857142.857142836</v>
      </c>
      <c r="N21" s="11">
        <f t="shared" ca="1" si="5"/>
        <v>65142857.142857119</v>
      </c>
      <c r="O21" s="11">
        <f t="shared" ca="1" si="5"/>
        <v>62428571.428571403</v>
      </c>
      <c r="P21" s="11">
        <f t="shared" ca="1" si="5"/>
        <v>59714285.714285687</v>
      </c>
      <c r="Q21" s="11">
        <f t="shared" ca="1" si="5"/>
        <v>56999999.99999997</v>
      </c>
      <c r="R21" s="11">
        <f t="shared" ca="1" si="5"/>
        <v>54285714.285714254</v>
      </c>
      <c r="S21" s="11">
        <f t="shared" ca="1" si="5"/>
        <v>51571428.571428537</v>
      </c>
      <c r="T21" s="11">
        <f t="shared" ca="1" si="5"/>
        <v>48857142.857142821</v>
      </c>
      <c r="U21" s="11">
        <f t="shared" ca="1" si="5"/>
        <v>46142857.142857105</v>
      </c>
      <c r="V21" s="11">
        <f t="shared" ca="1" si="5"/>
        <v>43428571.428571388</v>
      </c>
    </row>
    <row r="22" spans="2:22" x14ac:dyDescent="0.55000000000000004">
      <c r="B22" s="10" t="s">
        <v>51</v>
      </c>
      <c r="C22" s="11">
        <f t="shared" ref="C22:V22" si="6">C21-C17</f>
        <v>92285714.285714284</v>
      </c>
      <c r="D22" s="11">
        <f t="shared" ca="1" si="6"/>
        <v>89571428.571428567</v>
      </c>
      <c r="E22" s="11">
        <f t="shared" ca="1" si="6"/>
        <v>86857142.857142851</v>
      </c>
      <c r="F22" s="11">
        <f t="shared" ca="1" si="6"/>
        <v>84142857.142857134</v>
      </c>
      <c r="G22" s="11">
        <f t="shared" ca="1" si="6"/>
        <v>81428571.428571418</v>
      </c>
      <c r="H22" s="11">
        <f t="shared" ca="1" si="6"/>
        <v>78714285.714285702</v>
      </c>
      <c r="I22" s="11">
        <f t="shared" ca="1" si="6"/>
        <v>75999999.999999985</v>
      </c>
      <c r="J22" s="11">
        <f t="shared" ca="1" si="6"/>
        <v>73285714.285714269</v>
      </c>
      <c r="K22" s="11">
        <f t="shared" ca="1" si="6"/>
        <v>70571428.571428552</v>
      </c>
      <c r="L22" s="11">
        <f t="shared" ca="1" si="6"/>
        <v>67857142.857142836</v>
      </c>
      <c r="M22" s="11">
        <f t="shared" ca="1" si="6"/>
        <v>65142857.142857119</v>
      </c>
      <c r="N22" s="11">
        <f t="shared" ca="1" si="6"/>
        <v>62428571.428571403</v>
      </c>
      <c r="O22" s="11">
        <f t="shared" ca="1" si="6"/>
        <v>59714285.714285687</v>
      </c>
      <c r="P22" s="11">
        <f t="shared" ca="1" si="6"/>
        <v>56999999.99999997</v>
      </c>
      <c r="Q22" s="11">
        <f t="shared" ca="1" si="6"/>
        <v>54285714.285714254</v>
      </c>
      <c r="R22" s="11">
        <f t="shared" ca="1" si="6"/>
        <v>51571428.571428537</v>
      </c>
      <c r="S22" s="11">
        <f t="shared" ca="1" si="6"/>
        <v>48857142.857142821</v>
      </c>
      <c r="T22" s="11">
        <f t="shared" ca="1" si="6"/>
        <v>46142857.142857105</v>
      </c>
      <c r="U22" s="11">
        <f t="shared" ca="1" si="6"/>
        <v>43428571.428571388</v>
      </c>
      <c r="V22" s="11">
        <f t="shared" ca="1" si="6"/>
        <v>40714285.714285672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8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119E-31F3-49CD-8E2B-0B0B0F5A38AE}">
  <dimension ref="A2:R368"/>
  <sheetViews>
    <sheetView workbookViewId="0">
      <selection activeCell="D9" sqref="D9:D20"/>
    </sheetView>
  </sheetViews>
  <sheetFormatPr defaultRowHeight="18" x14ac:dyDescent="0.55000000000000004"/>
  <cols>
    <col min="1" max="1" width="6.6640625" bestFit="1" customWidth="1"/>
    <col min="2" max="2" width="4.1640625" bestFit="1" customWidth="1"/>
    <col min="3" max="3" width="12.83203125" customWidth="1"/>
    <col min="4" max="4" width="14.4140625" customWidth="1"/>
    <col min="5" max="5" width="8.75" bestFit="1" customWidth="1"/>
    <col min="6" max="6" width="12.4140625" bestFit="1" customWidth="1"/>
    <col min="8" max="8" width="4.1640625" bestFit="1" customWidth="1"/>
    <col min="9" max="9" width="12.83203125" customWidth="1"/>
    <col min="10" max="10" width="14.4140625" customWidth="1"/>
    <col min="11" max="11" width="8.75" bestFit="1" customWidth="1"/>
    <col min="12" max="12" width="12.4140625" bestFit="1" customWidth="1"/>
    <col min="14" max="14" width="4.1640625" bestFit="1" customWidth="1"/>
    <col min="15" max="15" width="10.4140625" bestFit="1" customWidth="1"/>
    <col min="16" max="16" width="10.25" bestFit="1" customWidth="1"/>
    <col min="17" max="17" width="8.75" bestFit="1" customWidth="1"/>
    <col min="18" max="18" width="12.4140625" bestFit="1" customWidth="1"/>
  </cols>
  <sheetData>
    <row r="2" spans="2:18" x14ac:dyDescent="0.55000000000000004">
      <c r="C2" t="s">
        <v>65</v>
      </c>
      <c r="D2">
        <v>5000</v>
      </c>
      <c r="E2" t="s">
        <v>66</v>
      </c>
      <c r="I2" t="s">
        <v>65</v>
      </c>
      <c r="J2">
        <v>5000</v>
      </c>
      <c r="K2" t="s">
        <v>66</v>
      </c>
    </row>
    <row r="3" spans="2:18" x14ac:dyDescent="0.55000000000000004">
      <c r="C3" t="s">
        <v>67</v>
      </c>
      <c r="D3" s="14">
        <v>4.2999999999999997E-2</v>
      </c>
      <c r="I3" t="s">
        <v>67</v>
      </c>
      <c r="J3" s="14">
        <v>2.1999999999999999E-2</v>
      </c>
      <c r="P3" s="14"/>
    </row>
    <row r="4" spans="2:18" x14ac:dyDescent="0.55000000000000004">
      <c r="C4" t="s">
        <v>68</v>
      </c>
      <c r="D4">
        <v>25</v>
      </c>
      <c r="E4" t="s">
        <v>69</v>
      </c>
      <c r="I4" t="s">
        <v>68</v>
      </c>
      <c r="J4">
        <v>25</v>
      </c>
      <c r="K4" t="s">
        <v>69</v>
      </c>
    </row>
    <row r="5" spans="2:18" x14ac:dyDescent="0.55000000000000004">
      <c r="C5" t="s">
        <v>70</v>
      </c>
      <c r="D5" s="15">
        <f>INT(PMT(D3/12,D4*12,-D2*10000))</f>
        <v>272270</v>
      </c>
      <c r="E5" t="s">
        <v>71</v>
      </c>
      <c r="I5" t="s">
        <v>70</v>
      </c>
      <c r="J5" s="15">
        <f>INT(PMT(J3/12,J4*12,-J2*10000))</f>
        <v>216829</v>
      </c>
      <c r="K5" t="s">
        <v>71</v>
      </c>
      <c r="P5" s="15"/>
    </row>
    <row r="6" spans="2:18" x14ac:dyDescent="0.55000000000000004">
      <c r="C6" t="s">
        <v>72</v>
      </c>
      <c r="D6" s="15">
        <f>D5*12</f>
        <v>3267240</v>
      </c>
      <c r="I6" t="s">
        <v>72</v>
      </c>
      <c r="J6" s="15">
        <f>J5*12</f>
        <v>2601948</v>
      </c>
      <c r="P6" s="15"/>
    </row>
    <row r="7" spans="2:18" x14ac:dyDescent="0.55000000000000004">
      <c r="D7" s="15"/>
    </row>
    <row r="8" spans="2:18" x14ac:dyDescent="0.55000000000000004">
      <c r="C8" t="s">
        <v>70</v>
      </c>
      <c r="D8" t="s">
        <v>73</v>
      </c>
      <c r="E8" t="s">
        <v>74</v>
      </c>
      <c r="F8" t="s">
        <v>75</v>
      </c>
      <c r="I8" t="s">
        <v>70</v>
      </c>
      <c r="J8" t="s">
        <v>73</v>
      </c>
      <c r="K8" t="s">
        <v>74</v>
      </c>
      <c r="L8" t="s">
        <v>75</v>
      </c>
    </row>
    <row r="9" spans="2:18" x14ac:dyDescent="0.55000000000000004">
      <c r="B9">
        <v>1</v>
      </c>
      <c r="C9" s="15">
        <f>D5</f>
        <v>272270</v>
      </c>
      <c r="D9" s="16">
        <f>INT(D2*10000*D3/12)</f>
        <v>179166</v>
      </c>
      <c r="E9" s="15">
        <f>C9-D9</f>
        <v>93104</v>
      </c>
      <c r="F9" s="15">
        <f>D2*10000-E9</f>
        <v>49906896</v>
      </c>
      <c r="H9">
        <v>1</v>
      </c>
      <c r="I9" s="15">
        <f>J5</f>
        <v>216829</v>
      </c>
      <c r="J9" s="16">
        <f>INT(J2*10000*J3/12)</f>
        <v>91666</v>
      </c>
      <c r="K9" s="15">
        <f>I9-J9</f>
        <v>125163</v>
      </c>
      <c r="L9" s="15">
        <f>J2*10000-K9</f>
        <v>49874837</v>
      </c>
      <c r="O9" s="15"/>
      <c r="P9" s="16"/>
      <c r="Q9" s="15"/>
      <c r="R9" s="15"/>
    </row>
    <row r="10" spans="2:18" x14ac:dyDescent="0.55000000000000004">
      <c r="B10">
        <f>B9+1</f>
        <v>2</v>
      </c>
      <c r="C10" s="15">
        <f>C9</f>
        <v>272270</v>
      </c>
      <c r="D10" s="16">
        <f>INT(F9*$D$3/12)</f>
        <v>178833</v>
      </c>
      <c r="E10" s="15">
        <f>C10-D10</f>
        <v>93437</v>
      </c>
      <c r="F10" s="15">
        <f>F9-E10</f>
        <v>49813459</v>
      </c>
      <c r="H10">
        <f>H9+1</f>
        <v>2</v>
      </c>
      <c r="I10" s="15">
        <f>I9</f>
        <v>216829</v>
      </c>
      <c r="J10" s="16">
        <f>INT(L9*$J$3/12)</f>
        <v>91437</v>
      </c>
      <c r="K10" s="15">
        <f>I10-J10</f>
        <v>125392</v>
      </c>
      <c r="L10" s="15">
        <f>L9-K10</f>
        <v>49749445</v>
      </c>
      <c r="O10" s="15"/>
      <c r="P10" s="16"/>
      <c r="Q10" s="15"/>
      <c r="R10" s="15"/>
    </row>
    <row r="11" spans="2:18" x14ac:dyDescent="0.55000000000000004">
      <c r="B11">
        <f t="shared" ref="B11:B74" si="0">B10+1</f>
        <v>3</v>
      </c>
      <c r="C11" s="15">
        <f t="shared" ref="C11:C74" si="1">C10</f>
        <v>272270</v>
      </c>
      <c r="D11" s="16">
        <f t="shared" ref="D11:D74" si="2">INT(F10*$D$3/12)</f>
        <v>178498</v>
      </c>
      <c r="E11" s="15">
        <f t="shared" ref="E11:E74" si="3">C11-D11</f>
        <v>93772</v>
      </c>
      <c r="F11" s="15">
        <f t="shared" ref="F11:F74" si="4">F10-E11</f>
        <v>49719687</v>
      </c>
      <c r="H11">
        <f t="shared" ref="H11:H74" si="5">H10+1</f>
        <v>3</v>
      </c>
      <c r="I11" s="15">
        <f t="shared" ref="I11:I74" si="6">I10</f>
        <v>216829</v>
      </c>
      <c r="J11" s="16">
        <f>INT(L10*$J$3/12)</f>
        <v>91207</v>
      </c>
      <c r="K11" s="15">
        <f t="shared" ref="K11:K74" si="7">I11-J11</f>
        <v>125622</v>
      </c>
      <c r="L11" s="15">
        <f t="shared" ref="L11:L74" si="8">L10-K11</f>
        <v>49623823</v>
      </c>
      <c r="O11" s="15"/>
      <c r="P11" s="16"/>
      <c r="Q11" s="15"/>
      <c r="R11" s="15"/>
    </row>
    <row r="12" spans="2:18" x14ac:dyDescent="0.55000000000000004">
      <c r="B12">
        <f t="shared" si="0"/>
        <v>4</v>
      </c>
      <c r="C12" s="15">
        <f t="shared" si="1"/>
        <v>272270</v>
      </c>
      <c r="D12" s="16">
        <f t="shared" si="2"/>
        <v>178162</v>
      </c>
      <c r="E12" s="15">
        <f t="shared" si="3"/>
        <v>94108</v>
      </c>
      <c r="F12" s="15">
        <f t="shared" si="4"/>
        <v>49625579</v>
      </c>
      <c r="H12">
        <f t="shared" si="5"/>
        <v>4</v>
      </c>
      <c r="I12" s="15">
        <f t="shared" si="6"/>
        <v>216829</v>
      </c>
      <c r="J12" s="16">
        <f t="shared" ref="J12:J75" si="9">INT(L11*$J$3/12)</f>
        <v>90977</v>
      </c>
      <c r="K12" s="15">
        <f t="shared" si="7"/>
        <v>125852</v>
      </c>
      <c r="L12" s="15">
        <f t="shared" si="8"/>
        <v>49497971</v>
      </c>
      <c r="O12" s="15"/>
      <c r="P12" s="16"/>
      <c r="Q12" s="15"/>
      <c r="R12" s="15"/>
    </row>
    <row r="13" spans="2:18" x14ac:dyDescent="0.55000000000000004">
      <c r="B13">
        <f t="shared" si="0"/>
        <v>5</v>
      </c>
      <c r="C13" s="15">
        <f t="shared" si="1"/>
        <v>272270</v>
      </c>
      <c r="D13" s="16">
        <f t="shared" si="2"/>
        <v>177824</v>
      </c>
      <c r="E13" s="15">
        <f t="shared" si="3"/>
        <v>94446</v>
      </c>
      <c r="F13" s="15">
        <f t="shared" si="4"/>
        <v>49531133</v>
      </c>
      <c r="H13">
        <f t="shared" si="5"/>
        <v>5</v>
      </c>
      <c r="I13" s="15">
        <f t="shared" si="6"/>
        <v>216829</v>
      </c>
      <c r="J13" s="16">
        <f t="shared" si="9"/>
        <v>90746</v>
      </c>
      <c r="K13" s="15">
        <f t="shared" si="7"/>
        <v>126083</v>
      </c>
      <c r="L13" s="15">
        <f t="shared" si="8"/>
        <v>49371888</v>
      </c>
      <c r="O13" s="15"/>
      <c r="P13" s="16"/>
      <c r="Q13" s="15"/>
      <c r="R13" s="15"/>
    </row>
    <row r="14" spans="2:18" x14ac:dyDescent="0.55000000000000004">
      <c r="B14">
        <f t="shared" si="0"/>
        <v>6</v>
      </c>
      <c r="C14" s="15">
        <f t="shared" si="1"/>
        <v>272270</v>
      </c>
      <c r="D14" s="16">
        <f t="shared" si="2"/>
        <v>177486</v>
      </c>
      <c r="E14" s="15">
        <f t="shared" si="3"/>
        <v>94784</v>
      </c>
      <c r="F14" s="15">
        <f t="shared" si="4"/>
        <v>49436349</v>
      </c>
      <c r="H14">
        <f t="shared" si="5"/>
        <v>6</v>
      </c>
      <c r="I14" s="15">
        <f t="shared" si="6"/>
        <v>216829</v>
      </c>
      <c r="J14" s="16">
        <f t="shared" si="9"/>
        <v>90515</v>
      </c>
      <c r="K14" s="15">
        <f t="shared" si="7"/>
        <v>126314</v>
      </c>
      <c r="L14" s="15">
        <f t="shared" si="8"/>
        <v>49245574</v>
      </c>
      <c r="O14" s="15"/>
      <c r="P14" s="16"/>
      <c r="Q14" s="15"/>
      <c r="R14" s="15"/>
    </row>
    <row r="15" spans="2:18" x14ac:dyDescent="0.55000000000000004">
      <c r="B15">
        <f t="shared" si="0"/>
        <v>7</v>
      </c>
      <c r="C15" s="15">
        <f t="shared" si="1"/>
        <v>272270</v>
      </c>
      <c r="D15" s="16">
        <f t="shared" si="2"/>
        <v>177146</v>
      </c>
      <c r="E15" s="15">
        <f t="shared" si="3"/>
        <v>95124</v>
      </c>
      <c r="F15" s="15">
        <f t="shared" si="4"/>
        <v>49341225</v>
      </c>
      <c r="H15">
        <f t="shared" si="5"/>
        <v>7</v>
      </c>
      <c r="I15" s="15">
        <f t="shared" si="6"/>
        <v>216829</v>
      </c>
      <c r="J15" s="16">
        <f t="shared" si="9"/>
        <v>90283</v>
      </c>
      <c r="K15" s="15">
        <f t="shared" si="7"/>
        <v>126546</v>
      </c>
      <c r="L15" s="15">
        <f t="shared" si="8"/>
        <v>49119028</v>
      </c>
      <c r="O15" s="15"/>
      <c r="P15" s="16"/>
      <c r="Q15" s="15"/>
      <c r="R15" s="15"/>
    </row>
    <row r="16" spans="2:18" x14ac:dyDescent="0.55000000000000004">
      <c r="B16">
        <f t="shared" si="0"/>
        <v>8</v>
      </c>
      <c r="C16" s="15">
        <f t="shared" si="1"/>
        <v>272270</v>
      </c>
      <c r="D16" s="16">
        <f t="shared" si="2"/>
        <v>176806</v>
      </c>
      <c r="E16" s="15">
        <f t="shared" si="3"/>
        <v>95464</v>
      </c>
      <c r="F16" s="15">
        <f t="shared" si="4"/>
        <v>49245761</v>
      </c>
      <c r="H16">
        <f t="shared" si="5"/>
        <v>8</v>
      </c>
      <c r="I16" s="15">
        <f t="shared" si="6"/>
        <v>216829</v>
      </c>
      <c r="J16" s="16">
        <f t="shared" si="9"/>
        <v>90051</v>
      </c>
      <c r="K16" s="15">
        <f t="shared" si="7"/>
        <v>126778</v>
      </c>
      <c r="L16" s="15">
        <f t="shared" si="8"/>
        <v>48992250</v>
      </c>
      <c r="O16" s="15"/>
      <c r="P16" s="16"/>
      <c r="Q16" s="15"/>
      <c r="R16" s="15"/>
    </row>
    <row r="17" spans="1:18" x14ac:dyDescent="0.55000000000000004">
      <c r="B17">
        <f t="shared" si="0"/>
        <v>9</v>
      </c>
      <c r="C17" s="15">
        <f t="shared" si="1"/>
        <v>272270</v>
      </c>
      <c r="D17" s="16">
        <f t="shared" si="2"/>
        <v>176463</v>
      </c>
      <c r="E17" s="15">
        <f t="shared" si="3"/>
        <v>95807</v>
      </c>
      <c r="F17" s="15">
        <f t="shared" si="4"/>
        <v>49149954</v>
      </c>
      <c r="H17">
        <f t="shared" si="5"/>
        <v>9</v>
      </c>
      <c r="I17" s="15">
        <f t="shared" si="6"/>
        <v>216829</v>
      </c>
      <c r="J17" s="16">
        <f t="shared" si="9"/>
        <v>89819</v>
      </c>
      <c r="K17" s="15">
        <f t="shared" si="7"/>
        <v>127010</v>
      </c>
      <c r="L17" s="15">
        <f t="shared" si="8"/>
        <v>48865240</v>
      </c>
      <c r="O17" s="15"/>
      <c r="P17" s="16"/>
      <c r="Q17" s="15"/>
      <c r="R17" s="15"/>
    </row>
    <row r="18" spans="1:18" x14ac:dyDescent="0.55000000000000004">
      <c r="B18">
        <f t="shared" si="0"/>
        <v>10</v>
      </c>
      <c r="C18" s="15">
        <f t="shared" si="1"/>
        <v>272270</v>
      </c>
      <c r="D18" s="16">
        <f t="shared" si="2"/>
        <v>176120</v>
      </c>
      <c r="E18" s="15">
        <f t="shared" si="3"/>
        <v>96150</v>
      </c>
      <c r="F18" s="15">
        <f t="shared" si="4"/>
        <v>49053804</v>
      </c>
      <c r="H18">
        <f t="shared" si="5"/>
        <v>10</v>
      </c>
      <c r="I18" s="15">
        <f t="shared" si="6"/>
        <v>216829</v>
      </c>
      <c r="J18" s="16">
        <f t="shared" si="9"/>
        <v>89586</v>
      </c>
      <c r="K18" s="15">
        <f t="shared" si="7"/>
        <v>127243</v>
      </c>
      <c r="L18" s="15">
        <f t="shared" si="8"/>
        <v>48737997</v>
      </c>
      <c r="O18" s="15"/>
      <c r="P18" s="16"/>
      <c r="Q18" s="15"/>
      <c r="R18" s="15"/>
    </row>
    <row r="19" spans="1:18" x14ac:dyDescent="0.55000000000000004">
      <c r="B19">
        <f t="shared" si="0"/>
        <v>11</v>
      </c>
      <c r="C19" s="15">
        <f t="shared" si="1"/>
        <v>272270</v>
      </c>
      <c r="D19" s="16">
        <f t="shared" si="2"/>
        <v>175776</v>
      </c>
      <c r="E19" s="15">
        <f t="shared" si="3"/>
        <v>96494</v>
      </c>
      <c r="F19" s="15">
        <f t="shared" si="4"/>
        <v>48957310</v>
      </c>
      <c r="H19">
        <f t="shared" si="5"/>
        <v>11</v>
      </c>
      <c r="I19" s="15">
        <f t="shared" si="6"/>
        <v>216829</v>
      </c>
      <c r="J19" s="16">
        <f t="shared" si="9"/>
        <v>89352</v>
      </c>
      <c r="K19" s="15">
        <f t="shared" si="7"/>
        <v>127477</v>
      </c>
      <c r="L19" s="15">
        <f t="shared" si="8"/>
        <v>48610520</v>
      </c>
      <c r="O19" s="15"/>
      <c r="P19" s="16"/>
      <c r="Q19" s="15"/>
      <c r="R19" s="15"/>
    </row>
    <row r="20" spans="1:18" x14ac:dyDescent="0.55000000000000004">
      <c r="B20">
        <f t="shared" si="0"/>
        <v>12</v>
      </c>
      <c r="C20" s="15">
        <f t="shared" si="1"/>
        <v>272270</v>
      </c>
      <c r="D20" s="16">
        <f t="shared" si="2"/>
        <v>175430</v>
      </c>
      <c r="E20" s="15">
        <f t="shared" si="3"/>
        <v>96840</v>
      </c>
      <c r="F20" s="15">
        <f t="shared" si="4"/>
        <v>48860470</v>
      </c>
      <c r="H20">
        <f t="shared" si="5"/>
        <v>12</v>
      </c>
      <c r="I20" s="15">
        <f t="shared" si="6"/>
        <v>216829</v>
      </c>
      <c r="J20" s="16">
        <f t="shared" si="9"/>
        <v>89119</v>
      </c>
      <c r="K20" s="15">
        <f t="shared" si="7"/>
        <v>127710</v>
      </c>
      <c r="L20" s="15">
        <f t="shared" si="8"/>
        <v>48482810</v>
      </c>
      <c r="O20" s="15"/>
      <c r="P20" s="16"/>
      <c r="Q20" s="15"/>
      <c r="R20" s="15"/>
    </row>
    <row r="21" spans="1:18" x14ac:dyDescent="0.55000000000000004">
      <c r="A21" t="s">
        <v>76</v>
      </c>
      <c r="B21">
        <f t="shared" si="0"/>
        <v>13</v>
      </c>
      <c r="C21" s="15">
        <f t="shared" si="1"/>
        <v>272270</v>
      </c>
      <c r="D21" s="16">
        <f t="shared" si="2"/>
        <v>175083</v>
      </c>
      <c r="E21" s="15">
        <f t="shared" si="3"/>
        <v>97187</v>
      </c>
      <c r="F21" s="15">
        <f t="shared" si="4"/>
        <v>48763283</v>
      </c>
      <c r="H21">
        <f t="shared" si="5"/>
        <v>13</v>
      </c>
      <c r="I21" s="15">
        <f t="shared" si="6"/>
        <v>216829</v>
      </c>
      <c r="J21" s="16">
        <f t="shared" si="9"/>
        <v>88885</v>
      </c>
      <c r="K21" s="15">
        <f t="shared" si="7"/>
        <v>127944</v>
      </c>
      <c r="L21" s="15">
        <f t="shared" si="8"/>
        <v>48354866</v>
      </c>
      <c r="O21" s="15"/>
      <c r="P21" s="16"/>
      <c r="Q21" s="15"/>
      <c r="R21" s="15"/>
    </row>
    <row r="22" spans="1:18" x14ac:dyDescent="0.55000000000000004">
      <c r="B22">
        <f t="shared" si="0"/>
        <v>14</v>
      </c>
      <c r="C22" s="15">
        <f t="shared" si="1"/>
        <v>272270</v>
      </c>
      <c r="D22" s="16">
        <f t="shared" si="2"/>
        <v>174735</v>
      </c>
      <c r="E22" s="15">
        <f t="shared" si="3"/>
        <v>97535</v>
      </c>
      <c r="F22" s="15">
        <f t="shared" si="4"/>
        <v>48665748</v>
      </c>
      <c r="H22">
        <f t="shared" si="5"/>
        <v>14</v>
      </c>
      <c r="I22" s="15">
        <f t="shared" si="6"/>
        <v>216829</v>
      </c>
      <c r="J22" s="16">
        <f t="shared" si="9"/>
        <v>88650</v>
      </c>
      <c r="K22" s="15">
        <f t="shared" si="7"/>
        <v>128179</v>
      </c>
      <c r="L22" s="15">
        <f t="shared" si="8"/>
        <v>48226687</v>
      </c>
      <c r="O22" s="15"/>
      <c r="P22" s="16"/>
      <c r="Q22" s="15"/>
      <c r="R22" s="15"/>
    </row>
    <row r="23" spans="1:18" x14ac:dyDescent="0.55000000000000004">
      <c r="B23">
        <f t="shared" si="0"/>
        <v>15</v>
      </c>
      <c r="C23" s="15">
        <f t="shared" si="1"/>
        <v>272270</v>
      </c>
      <c r="D23" s="16">
        <f t="shared" si="2"/>
        <v>174385</v>
      </c>
      <c r="E23" s="15">
        <f t="shared" si="3"/>
        <v>97885</v>
      </c>
      <c r="F23" s="15">
        <f t="shared" si="4"/>
        <v>48567863</v>
      </c>
      <c r="H23">
        <f t="shared" si="5"/>
        <v>15</v>
      </c>
      <c r="I23" s="15">
        <f t="shared" si="6"/>
        <v>216829</v>
      </c>
      <c r="J23" s="16">
        <f t="shared" si="9"/>
        <v>88415</v>
      </c>
      <c r="K23" s="15">
        <f t="shared" si="7"/>
        <v>128414</v>
      </c>
      <c r="L23" s="15">
        <f t="shared" si="8"/>
        <v>48098273</v>
      </c>
      <c r="O23" s="15"/>
      <c r="P23" s="16"/>
      <c r="Q23" s="15"/>
      <c r="R23" s="15"/>
    </row>
    <row r="24" spans="1:18" x14ac:dyDescent="0.55000000000000004">
      <c r="B24">
        <f t="shared" si="0"/>
        <v>16</v>
      </c>
      <c r="C24" s="15">
        <f t="shared" si="1"/>
        <v>272270</v>
      </c>
      <c r="D24" s="16">
        <f t="shared" si="2"/>
        <v>174034</v>
      </c>
      <c r="E24" s="15">
        <f t="shared" si="3"/>
        <v>98236</v>
      </c>
      <c r="F24" s="15">
        <f t="shared" si="4"/>
        <v>48469627</v>
      </c>
      <c r="H24">
        <f t="shared" si="5"/>
        <v>16</v>
      </c>
      <c r="I24" s="15">
        <f t="shared" si="6"/>
        <v>216829</v>
      </c>
      <c r="J24" s="16">
        <f t="shared" si="9"/>
        <v>88180</v>
      </c>
      <c r="K24" s="15">
        <f t="shared" si="7"/>
        <v>128649</v>
      </c>
      <c r="L24" s="15">
        <f t="shared" si="8"/>
        <v>47969624</v>
      </c>
      <c r="O24" s="15"/>
      <c r="P24" s="16"/>
      <c r="Q24" s="15"/>
      <c r="R24" s="15"/>
    </row>
    <row r="25" spans="1:18" x14ac:dyDescent="0.55000000000000004">
      <c r="B25">
        <f t="shared" si="0"/>
        <v>17</v>
      </c>
      <c r="C25" s="15">
        <f t="shared" si="1"/>
        <v>272270</v>
      </c>
      <c r="D25" s="16">
        <f t="shared" si="2"/>
        <v>173682</v>
      </c>
      <c r="E25" s="15">
        <f t="shared" si="3"/>
        <v>98588</v>
      </c>
      <c r="F25" s="15">
        <f t="shared" si="4"/>
        <v>48371039</v>
      </c>
      <c r="H25">
        <f t="shared" si="5"/>
        <v>17</v>
      </c>
      <c r="I25" s="15">
        <f t="shared" si="6"/>
        <v>216829</v>
      </c>
      <c r="J25" s="16">
        <f t="shared" si="9"/>
        <v>87944</v>
      </c>
      <c r="K25" s="15">
        <f t="shared" si="7"/>
        <v>128885</v>
      </c>
      <c r="L25" s="15">
        <f t="shared" si="8"/>
        <v>47840739</v>
      </c>
      <c r="O25" s="15"/>
      <c r="P25" s="16"/>
      <c r="Q25" s="15"/>
      <c r="R25" s="15"/>
    </row>
    <row r="26" spans="1:18" x14ac:dyDescent="0.55000000000000004">
      <c r="B26">
        <f t="shared" si="0"/>
        <v>18</v>
      </c>
      <c r="C26" s="15">
        <f t="shared" si="1"/>
        <v>272270</v>
      </c>
      <c r="D26" s="16">
        <f t="shared" si="2"/>
        <v>173329</v>
      </c>
      <c r="E26" s="15">
        <f t="shared" si="3"/>
        <v>98941</v>
      </c>
      <c r="F26" s="15">
        <f t="shared" si="4"/>
        <v>48272098</v>
      </c>
      <c r="H26">
        <f t="shared" si="5"/>
        <v>18</v>
      </c>
      <c r="I26" s="15">
        <f t="shared" si="6"/>
        <v>216829</v>
      </c>
      <c r="J26" s="16">
        <f t="shared" si="9"/>
        <v>87708</v>
      </c>
      <c r="K26" s="15">
        <f t="shared" si="7"/>
        <v>129121</v>
      </c>
      <c r="L26" s="15">
        <f t="shared" si="8"/>
        <v>47711618</v>
      </c>
      <c r="O26" s="15"/>
      <c r="P26" s="16"/>
      <c r="Q26" s="15"/>
      <c r="R26" s="15"/>
    </row>
    <row r="27" spans="1:18" x14ac:dyDescent="0.55000000000000004">
      <c r="B27">
        <f t="shared" si="0"/>
        <v>19</v>
      </c>
      <c r="C27" s="15">
        <f t="shared" si="1"/>
        <v>272270</v>
      </c>
      <c r="D27" s="16">
        <f t="shared" si="2"/>
        <v>172975</v>
      </c>
      <c r="E27" s="15">
        <f t="shared" si="3"/>
        <v>99295</v>
      </c>
      <c r="F27" s="15">
        <f t="shared" si="4"/>
        <v>48172803</v>
      </c>
      <c r="H27">
        <f t="shared" si="5"/>
        <v>19</v>
      </c>
      <c r="I27" s="15">
        <f t="shared" si="6"/>
        <v>216829</v>
      </c>
      <c r="J27" s="16">
        <f t="shared" si="9"/>
        <v>87471</v>
      </c>
      <c r="K27" s="15">
        <f t="shared" si="7"/>
        <v>129358</v>
      </c>
      <c r="L27" s="15">
        <f t="shared" si="8"/>
        <v>47582260</v>
      </c>
      <c r="O27" s="15"/>
      <c r="P27" s="16"/>
      <c r="Q27" s="15"/>
      <c r="R27" s="15"/>
    </row>
    <row r="28" spans="1:18" x14ac:dyDescent="0.55000000000000004">
      <c r="B28">
        <f t="shared" si="0"/>
        <v>20</v>
      </c>
      <c r="C28" s="15">
        <f t="shared" si="1"/>
        <v>272270</v>
      </c>
      <c r="D28" s="16">
        <f t="shared" si="2"/>
        <v>172619</v>
      </c>
      <c r="E28" s="15">
        <f t="shared" si="3"/>
        <v>99651</v>
      </c>
      <c r="F28" s="15">
        <f t="shared" si="4"/>
        <v>48073152</v>
      </c>
      <c r="H28">
        <f t="shared" si="5"/>
        <v>20</v>
      </c>
      <c r="I28" s="15">
        <f t="shared" si="6"/>
        <v>216829</v>
      </c>
      <c r="J28" s="16">
        <f t="shared" si="9"/>
        <v>87234</v>
      </c>
      <c r="K28" s="15">
        <f t="shared" si="7"/>
        <v>129595</v>
      </c>
      <c r="L28" s="15">
        <f t="shared" si="8"/>
        <v>47452665</v>
      </c>
      <c r="O28" s="15"/>
      <c r="P28" s="16"/>
      <c r="Q28" s="15"/>
      <c r="R28" s="15"/>
    </row>
    <row r="29" spans="1:18" x14ac:dyDescent="0.55000000000000004">
      <c r="B29">
        <f t="shared" si="0"/>
        <v>21</v>
      </c>
      <c r="C29" s="15">
        <f t="shared" si="1"/>
        <v>272270</v>
      </c>
      <c r="D29" s="16">
        <f t="shared" si="2"/>
        <v>172262</v>
      </c>
      <c r="E29" s="15">
        <f t="shared" si="3"/>
        <v>100008</v>
      </c>
      <c r="F29" s="15">
        <f t="shared" si="4"/>
        <v>47973144</v>
      </c>
      <c r="H29">
        <f t="shared" si="5"/>
        <v>21</v>
      </c>
      <c r="I29" s="15">
        <f t="shared" si="6"/>
        <v>216829</v>
      </c>
      <c r="J29" s="16">
        <f t="shared" si="9"/>
        <v>86996</v>
      </c>
      <c r="K29" s="15">
        <f t="shared" si="7"/>
        <v>129833</v>
      </c>
      <c r="L29" s="15">
        <f t="shared" si="8"/>
        <v>47322832</v>
      </c>
      <c r="O29" s="15"/>
      <c r="P29" s="16"/>
      <c r="Q29" s="15"/>
      <c r="R29" s="15"/>
    </row>
    <row r="30" spans="1:18" x14ac:dyDescent="0.55000000000000004">
      <c r="B30">
        <f t="shared" si="0"/>
        <v>22</v>
      </c>
      <c r="C30" s="15">
        <f t="shared" si="1"/>
        <v>272270</v>
      </c>
      <c r="D30" s="16">
        <f t="shared" si="2"/>
        <v>171903</v>
      </c>
      <c r="E30" s="15">
        <f t="shared" si="3"/>
        <v>100367</v>
      </c>
      <c r="F30" s="15">
        <f t="shared" si="4"/>
        <v>47872777</v>
      </c>
      <c r="H30">
        <f t="shared" si="5"/>
        <v>22</v>
      </c>
      <c r="I30" s="15">
        <f t="shared" si="6"/>
        <v>216829</v>
      </c>
      <c r="J30" s="16">
        <f t="shared" si="9"/>
        <v>86758</v>
      </c>
      <c r="K30" s="15">
        <f t="shared" si="7"/>
        <v>130071</v>
      </c>
      <c r="L30" s="15">
        <f t="shared" si="8"/>
        <v>47192761</v>
      </c>
      <c r="O30" s="15"/>
      <c r="P30" s="16"/>
      <c r="Q30" s="15"/>
      <c r="R30" s="15"/>
    </row>
    <row r="31" spans="1:18" x14ac:dyDescent="0.55000000000000004">
      <c r="B31">
        <f t="shared" si="0"/>
        <v>23</v>
      </c>
      <c r="C31" s="15">
        <f t="shared" si="1"/>
        <v>272270</v>
      </c>
      <c r="D31" s="16">
        <f t="shared" si="2"/>
        <v>171544</v>
      </c>
      <c r="E31" s="15">
        <f t="shared" si="3"/>
        <v>100726</v>
      </c>
      <c r="F31" s="15">
        <f t="shared" si="4"/>
        <v>47772051</v>
      </c>
      <c r="H31">
        <f t="shared" si="5"/>
        <v>23</v>
      </c>
      <c r="I31" s="15">
        <f t="shared" si="6"/>
        <v>216829</v>
      </c>
      <c r="J31" s="16">
        <f t="shared" si="9"/>
        <v>86520</v>
      </c>
      <c r="K31" s="15">
        <f t="shared" si="7"/>
        <v>130309</v>
      </c>
      <c r="L31" s="15">
        <f t="shared" si="8"/>
        <v>47062452</v>
      </c>
      <c r="O31" s="15"/>
      <c r="P31" s="16"/>
      <c r="Q31" s="15"/>
      <c r="R31" s="15"/>
    </row>
    <row r="32" spans="1:18" x14ac:dyDescent="0.55000000000000004">
      <c r="B32">
        <f t="shared" si="0"/>
        <v>24</v>
      </c>
      <c r="C32" s="15">
        <f t="shared" si="1"/>
        <v>272270</v>
      </c>
      <c r="D32" s="16">
        <f t="shared" si="2"/>
        <v>171183</v>
      </c>
      <c r="E32" s="15">
        <f t="shared" si="3"/>
        <v>101087</v>
      </c>
      <c r="F32" s="15">
        <f t="shared" si="4"/>
        <v>47670964</v>
      </c>
      <c r="H32">
        <f t="shared" si="5"/>
        <v>24</v>
      </c>
      <c r="I32" s="15">
        <f t="shared" si="6"/>
        <v>216829</v>
      </c>
      <c r="J32" s="16">
        <f t="shared" si="9"/>
        <v>86281</v>
      </c>
      <c r="K32" s="15">
        <f t="shared" si="7"/>
        <v>130548</v>
      </c>
      <c r="L32" s="15">
        <f t="shared" si="8"/>
        <v>46931904</v>
      </c>
      <c r="O32" s="15"/>
      <c r="P32" s="16"/>
      <c r="Q32" s="15"/>
      <c r="R32" s="15"/>
    </row>
    <row r="33" spans="1:18" x14ac:dyDescent="0.55000000000000004">
      <c r="A33" t="s">
        <v>77</v>
      </c>
      <c r="B33">
        <f t="shared" si="0"/>
        <v>25</v>
      </c>
      <c r="C33" s="15">
        <f t="shared" si="1"/>
        <v>272270</v>
      </c>
      <c r="D33" s="16">
        <f t="shared" si="2"/>
        <v>170820</v>
      </c>
      <c r="E33" s="15">
        <f t="shared" si="3"/>
        <v>101450</v>
      </c>
      <c r="F33" s="15">
        <f t="shared" si="4"/>
        <v>47569514</v>
      </c>
      <c r="H33">
        <f t="shared" si="5"/>
        <v>25</v>
      </c>
      <c r="I33" s="15">
        <f t="shared" si="6"/>
        <v>216829</v>
      </c>
      <c r="J33" s="16">
        <f t="shared" si="9"/>
        <v>86041</v>
      </c>
      <c r="K33" s="15">
        <f t="shared" si="7"/>
        <v>130788</v>
      </c>
      <c r="L33" s="15">
        <f t="shared" si="8"/>
        <v>46801116</v>
      </c>
      <c r="O33" s="15"/>
      <c r="P33" s="16"/>
      <c r="Q33" s="15"/>
      <c r="R33" s="15"/>
    </row>
    <row r="34" spans="1:18" x14ac:dyDescent="0.55000000000000004">
      <c r="B34">
        <f t="shared" si="0"/>
        <v>26</v>
      </c>
      <c r="C34" s="15">
        <f t="shared" si="1"/>
        <v>272270</v>
      </c>
      <c r="D34" s="16">
        <f t="shared" si="2"/>
        <v>170457</v>
      </c>
      <c r="E34" s="15">
        <f t="shared" si="3"/>
        <v>101813</v>
      </c>
      <c r="F34" s="15">
        <f t="shared" si="4"/>
        <v>47467701</v>
      </c>
      <c r="H34">
        <f t="shared" si="5"/>
        <v>26</v>
      </c>
      <c r="I34" s="15">
        <f t="shared" si="6"/>
        <v>216829</v>
      </c>
      <c r="J34" s="16">
        <f t="shared" si="9"/>
        <v>85802</v>
      </c>
      <c r="K34" s="15">
        <f t="shared" si="7"/>
        <v>131027</v>
      </c>
      <c r="L34" s="15">
        <f t="shared" si="8"/>
        <v>46670089</v>
      </c>
      <c r="O34" s="15"/>
      <c r="P34" s="16"/>
      <c r="Q34" s="15"/>
      <c r="R34" s="15"/>
    </row>
    <row r="35" spans="1:18" x14ac:dyDescent="0.55000000000000004">
      <c r="B35">
        <f t="shared" si="0"/>
        <v>27</v>
      </c>
      <c r="C35" s="15">
        <f t="shared" si="1"/>
        <v>272270</v>
      </c>
      <c r="D35" s="16">
        <f t="shared" si="2"/>
        <v>170092</v>
      </c>
      <c r="E35" s="15">
        <f t="shared" si="3"/>
        <v>102178</v>
      </c>
      <c r="F35" s="15">
        <f t="shared" si="4"/>
        <v>47365523</v>
      </c>
      <c r="H35">
        <f t="shared" si="5"/>
        <v>27</v>
      </c>
      <c r="I35" s="15">
        <f t="shared" si="6"/>
        <v>216829</v>
      </c>
      <c r="J35" s="16">
        <f t="shared" si="9"/>
        <v>85561</v>
      </c>
      <c r="K35" s="15">
        <f t="shared" si="7"/>
        <v>131268</v>
      </c>
      <c r="L35" s="15">
        <f t="shared" si="8"/>
        <v>46538821</v>
      </c>
      <c r="O35" s="15"/>
      <c r="P35" s="16"/>
      <c r="Q35" s="15"/>
      <c r="R35" s="15"/>
    </row>
    <row r="36" spans="1:18" x14ac:dyDescent="0.55000000000000004">
      <c r="B36">
        <f t="shared" si="0"/>
        <v>28</v>
      </c>
      <c r="C36" s="15">
        <f t="shared" si="1"/>
        <v>272270</v>
      </c>
      <c r="D36" s="16">
        <f t="shared" si="2"/>
        <v>169726</v>
      </c>
      <c r="E36" s="15">
        <f t="shared" si="3"/>
        <v>102544</v>
      </c>
      <c r="F36" s="15">
        <f t="shared" si="4"/>
        <v>47262979</v>
      </c>
      <c r="H36">
        <f t="shared" si="5"/>
        <v>28</v>
      </c>
      <c r="I36" s="15">
        <f t="shared" si="6"/>
        <v>216829</v>
      </c>
      <c r="J36" s="16">
        <f t="shared" si="9"/>
        <v>85321</v>
      </c>
      <c r="K36" s="15">
        <f t="shared" si="7"/>
        <v>131508</v>
      </c>
      <c r="L36" s="15">
        <f t="shared" si="8"/>
        <v>46407313</v>
      </c>
      <c r="O36" s="15"/>
      <c r="P36" s="16"/>
      <c r="Q36" s="15"/>
      <c r="R36" s="15"/>
    </row>
    <row r="37" spans="1:18" x14ac:dyDescent="0.55000000000000004">
      <c r="B37">
        <f t="shared" si="0"/>
        <v>29</v>
      </c>
      <c r="C37" s="15">
        <f t="shared" si="1"/>
        <v>272270</v>
      </c>
      <c r="D37" s="16">
        <f t="shared" si="2"/>
        <v>169359</v>
      </c>
      <c r="E37" s="15">
        <f t="shared" si="3"/>
        <v>102911</v>
      </c>
      <c r="F37" s="15">
        <f t="shared" si="4"/>
        <v>47160068</v>
      </c>
      <c r="H37">
        <f t="shared" si="5"/>
        <v>29</v>
      </c>
      <c r="I37" s="15">
        <f t="shared" si="6"/>
        <v>216829</v>
      </c>
      <c r="J37" s="16">
        <f t="shared" si="9"/>
        <v>85080</v>
      </c>
      <c r="K37" s="15">
        <f t="shared" si="7"/>
        <v>131749</v>
      </c>
      <c r="L37" s="15">
        <f t="shared" si="8"/>
        <v>46275564</v>
      </c>
      <c r="O37" s="15"/>
      <c r="P37" s="16"/>
      <c r="Q37" s="15"/>
      <c r="R37" s="15"/>
    </row>
    <row r="38" spans="1:18" x14ac:dyDescent="0.55000000000000004">
      <c r="B38">
        <f t="shared" si="0"/>
        <v>30</v>
      </c>
      <c r="C38" s="15">
        <f t="shared" si="1"/>
        <v>272270</v>
      </c>
      <c r="D38" s="16">
        <f t="shared" si="2"/>
        <v>168990</v>
      </c>
      <c r="E38" s="15">
        <f t="shared" si="3"/>
        <v>103280</v>
      </c>
      <c r="F38" s="15">
        <f t="shared" si="4"/>
        <v>47056788</v>
      </c>
      <c r="H38">
        <f t="shared" si="5"/>
        <v>30</v>
      </c>
      <c r="I38" s="15">
        <f t="shared" si="6"/>
        <v>216829</v>
      </c>
      <c r="J38" s="16">
        <f t="shared" si="9"/>
        <v>84838</v>
      </c>
      <c r="K38" s="15">
        <f t="shared" si="7"/>
        <v>131991</v>
      </c>
      <c r="L38" s="15">
        <f t="shared" si="8"/>
        <v>46143573</v>
      </c>
      <c r="O38" s="15"/>
      <c r="P38" s="16"/>
      <c r="Q38" s="15"/>
      <c r="R38" s="15"/>
    </row>
    <row r="39" spans="1:18" x14ac:dyDescent="0.55000000000000004">
      <c r="B39">
        <f t="shared" si="0"/>
        <v>31</v>
      </c>
      <c r="C39" s="15">
        <f t="shared" si="1"/>
        <v>272270</v>
      </c>
      <c r="D39" s="16">
        <f t="shared" si="2"/>
        <v>168620</v>
      </c>
      <c r="E39" s="15">
        <f t="shared" si="3"/>
        <v>103650</v>
      </c>
      <c r="F39" s="15">
        <f t="shared" si="4"/>
        <v>46953138</v>
      </c>
      <c r="H39">
        <f t="shared" si="5"/>
        <v>31</v>
      </c>
      <c r="I39" s="15">
        <f t="shared" si="6"/>
        <v>216829</v>
      </c>
      <c r="J39" s="16">
        <f t="shared" si="9"/>
        <v>84596</v>
      </c>
      <c r="K39" s="15">
        <f t="shared" si="7"/>
        <v>132233</v>
      </c>
      <c r="L39" s="15">
        <f t="shared" si="8"/>
        <v>46011340</v>
      </c>
      <c r="O39" s="15"/>
      <c r="P39" s="16"/>
      <c r="Q39" s="15"/>
      <c r="R39" s="15"/>
    </row>
    <row r="40" spans="1:18" x14ac:dyDescent="0.55000000000000004">
      <c r="B40">
        <f t="shared" si="0"/>
        <v>32</v>
      </c>
      <c r="C40" s="15">
        <f t="shared" si="1"/>
        <v>272270</v>
      </c>
      <c r="D40" s="16">
        <f t="shared" si="2"/>
        <v>168248</v>
      </c>
      <c r="E40" s="15">
        <f t="shared" si="3"/>
        <v>104022</v>
      </c>
      <c r="F40" s="15">
        <f t="shared" si="4"/>
        <v>46849116</v>
      </c>
      <c r="H40">
        <f t="shared" si="5"/>
        <v>32</v>
      </c>
      <c r="I40" s="15">
        <f t="shared" si="6"/>
        <v>216829</v>
      </c>
      <c r="J40" s="16">
        <f t="shared" si="9"/>
        <v>84354</v>
      </c>
      <c r="K40" s="15">
        <f t="shared" si="7"/>
        <v>132475</v>
      </c>
      <c r="L40" s="15">
        <f t="shared" si="8"/>
        <v>45878865</v>
      </c>
      <c r="O40" s="15"/>
      <c r="P40" s="16"/>
      <c r="Q40" s="15"/>
      <c r="R40" s="15"/>
    </row>
    <row r="41" spans="1:18" x14ac:dyDescent="0.55000000000000004">
      <c r="B41">
        <f t="shared" si="0"/>
        <v>33</v>
      </c>
      <c r="C41" s="15">
        <f t="shared" si="1"/>
        <v>272270</v>
      </c>
      <c r="D41" s="16">
        <f t="shared" si="2"/>
        <v>167875</v>
      </c>
      <c r="E41" s="15">
        <f t="shared" si="3"/>
        <v>104395</v>
      </c>
      <c r="F41" s="15">
        <f t="shared" si="4"/>
        <v>46744721</v>
      </c>
      <c r="H41">
        <f t="shared" si="5"/>
        <v>33</v>
      </c>
      <c r="I41" s="15">
        <f t="shared" si="6"/>
        <v>216829</v>
      </c>
      <c r="J41" s="16">
        <f t="shared" si="9"/>
        <v>84111</v>
      </c>
      <c r="K41" s="15">
        <f t="shared" si="7"/>
        <v>132718</v>
      </c>
      <c r="L41" s="15">
        <f t="shared" si="8"/>
        <v>45746147</v>
      </c>
      <c r="O41" s="15"/>
      <c r="P41" s="16"/>
      <c r="Q41" s="15"/>
      <c r="R41" s="15"/>
    </row>
    <row r="42" spans="1:18" x14ac:dyDescent="0.55000000000000004">
      <c r="B42">
        <f t="shared" si="0"/>
        <v>34</v>
      </c>
      <c r="C42" s="15">
        <f t="shared" si="1"/>
        <v>272270</v>
      </c>
      <c r="D42" s="16">
        <f t="shared" si="2"/>
        <v>167501</v>
      </c>
      <c r="E42" s="15">
        <f t="shared" si="3"/>
        <v>104769</v>
      </c>
      <c r="F42" s="15">
        <f t="shared" si="4"/>
        <v>46639952</v>
      </c>
      <c r="H42">
        <f t="shared" si="5"/>
        <v>34</v>
      </c>
      <c r="I42" s="15">
        <f t="shared" si="6"/>
        <v>216829</v>
      </c>
      <c r="J42" s="16">
        <f t="shared" si="9"/>
        <v>83867</v>
      </c>
      <c r="K42" s="15">
        <f t="shared" si="7"/>
        <v>132962</v>
      </c>
      <c r="L42" s="15">
        <f t="shared" si="8"/>
        <v>45613185</v>
      </c>
      <c r="O42" s="15"/>
      <c r="P42" s="16"/>
      <c r="Q42" s="15"/>
      <c r="R42" s="15"/>
    </row>
    <row r="43" spans="1:18" x14ac:dyDescent="0.55000000000000004">
      <c r="B43">
        <f t="shared" si="0"/>
        <v>35</v>
      </c>
      <c r="C43" s="15">
        <f t="shared" si="1"/>
        <v>272270</v>
      </c>
      <c r="D43" s="16">
        <f t="shared" si="2"/>
        <v>167126</v>
      </c>
      <c r="E43" s="15">
        <f t="shared" si="3"/>
        <v>105144</v>
      </c>
      <c r="F43" s="15">
        <f t="shared" si="4"/>
        <v>46534808</v>
      </c>
      <c r="H43">
        <f t="shared" si="5"/>
        <v>35</v>
      </c>
      <c r="I43" s="15">
        <f t="shared" si="6"/>
        <v>216829</v>
      </c>
      <c r="J43" s="16">
        <f t="shared" si="9"/>
        <v>83624</v>
      </c>
      <c r="K43" s="15">
        <f t="shared" si="7"/>
        <v>133205</v>
      </c>
      <c r="L43" s="15">
        <f t="shared" si="8"/>
        <v>45479980</v>
      </c>
      <c r="O43" s="15"/>
      <c r="P43" s="16"/>
      <c r="Q43" s="15"/>
      <c r="R43" s="15"/>
    </row>
    <row r="44" spans="1:18" x14ac:dyDescent="0.55000000000000004">
      <c r="B44">
        <f t="shared" si="0"/>
        <v>36</v>
      </c>
      <c r="C44" s="15">
        <f t="shared" si="1"/>
        <v>272270</v>
      </c>
      <c r="D44" s="16">
        <f t="shared" si="2"/>
        <v>166749</v>
      </c>
      <c r="E44" s="15">
        <f t="shared" si="3"/>
        <v>105521</v>
      </c>
      <c r="F44" s="15">
        <f t="shared" si="4"/>
        <v>46429287</v>
      </c>
      <c r="H44">
        <f t="shared" si="5"/>
        <v>36</v>
      </c>
      <c r="I44" s="15">
        <f t="shared" si="6"/>
        <v>216829</v>
      </c>
      <c r="J44" s="16">
        <f t="shared" si="9"/>
        <v>83379</v>
      </c>
      <c r="K44" s="15">
        <f t="shared" si="7"/>
        <v>133450</v>
      </c>
      <c r="L44" s="15">
        <f t="shared" si="8"/>
        <v>45346530</v>
      </c>
      <c r="O44" s="15"/>
      <c r="P44" s="16"/>
      <c r="Q44" s="15"/>
      <c r="R44" s="15"/>
    </row>
    <row r="45" spans="1:18" x14ac:dyDescent="0.55000000000000004">
      <c r="A45" t="s">
        <v>78</v>
      </c>
      <c r="B45">
        <f t="shared" si="0"/>
        <v>37</v>
      </c>
      <c r="C45" s="15">
        <f t="shared" si="1"/>
        <v>272270</v>
      </c>
      <c r="D45" s="16">
        <f t="shared" si="2"/>
        <v>166371</v>
      </c>
      <c r="E45" s="15">
        <f t="shared" si="3"/>
        <v>105899</v>
      </c>
      <c r="F45" s="15">
        <f t="shared" si="4"/>
        <v>46323388</v>
      </c>
      <c r="H45">
        <f t="shared" si="5"/>
        <v>37</v>
      </c>
      <c r="I45" s="15">
        <f t="shared" si="6"/>
        <v>216829</v>
      </c>
      <c r="J45" s="16">
        <f t="shared" si="9"/>
        <v>83135</v>
      </c>
      <c r="K45" s="15">
        <f t="shared" si="7"/>
        <v>133694</v>
      </c>
      <c r="L45" s="15">
        <f t="shared" si="8"/>
        <v>45212836</v>
      </c>
      <c r="O45" s="15"/>
      <c r="P45" s="16"/>
      <c r="Q45" s="15"/>
      <c r="R45" s="15"/>
    </row>
    <row r="46" spans="1:18" x14ac:dyDescent="0.55000000000000004">
      <c r="B46">
        <f t="shared" si="0"/>
        <v>38</v>
      </c>
      <c r="C46" s="15">
        <f t="shared" si="1"/>
        <v>272270</v>
      </c>
      <c r="D46" s="16">
        <f t="shared" si="2"/>
        <v>165992</v>
      </c>
      <c r="E46" s="15">
        <f t="shared" si="3"/>
        <v>106278</v>
      </c>
      <c r="F46" s="15">
        <f t="shared" si="4"/>
        <v>46217110</v>
      </c>
      <c r="H46">
        <f t="shared" si="5"/>
        <v>38</v>
      </c>
      <c r="I46" s="15">
        <f t="shared" si="6"/>
        <v>216829</v>
      </c>
      <c r="J46" s="16">
        <f t="shared" si="9"/>
        <v>82890</v>
      </c>
      <c r="K46" s="15">
        <f t="shared" si="7"/>
        <v>133939</v>
      </c>
      <c r="L46" s="15">
        <f t="shared" si="8"/>
        <v>45078897</v>
      </c>
      <c r="O46" s="15"/>
      <c r="P46" s="16"/>
      <c r="Q46" s="15"/>
      <c r="R46" s="15"/>
    </row>
    <row r="47" spans="1:18" x14ac:dyDescent="0.55000000000000004">
      <c r="B47">
        <f t="shared" si="0"/>
        <v>39</v>
      </c>
      <c r="C47" s="15">
        <f t="shared" si="1"/>
        <v>272270</v>
      </c>
      <c r="D47" s="16">
        <f t="shared" si="2"/>
        <v>165611</v>
      </c>
      <c r="E47" s="15">
        <f t="shared" si="3"/>
        <v>106659</v>
      </c>
      <c r="F47" s="15">
        <f t="shared" si="4"/>
        <v>46110451</v>
      </c>
      <c r="H47">
        <f t="shared" si="5"/>
        <v>39</v>
      </c>
      <c r="I47" s="15">
        <f t="shared" si="6"/>
        <v>216829</v>
      </c>
      <c r="J47" s="16">
        <f t="shared" si="9"/>
        <v>82644</v>
      </c>
      <c r="K47" s="15">
        <f t="shared" si="7"/>
        <v>134185</v>
      </c>
      <c r="L47" s="15">
        <f t="shared" si="8"/>
        <v>44944712</v>
      </c>
      <c r="O47" s="15"/>
      <c r="P47" s="16"/>
      <c r="Q47" s="15"/>
      <c r="R47" s="15"/>
    </row>
    <row r="48" spans="1:18" x14ac:dyDescent="0.55000000000000004">
      <c r="B48">
        <f t="shared" si="0"/>
        <v>40</v>
      </c>
      <c r="C48" s="15">
        <f t="shared" si="1"/>
        <v>272270</v>
      </c>
      <c r="D48" s="16">
        <f t="shared" si="2"/>
        <v>165229</v>
      </c>
      <c r="E48" s="15">
        <f t="shared" si="3"/>
        <v>107041</v>
      </c>
      <c r="F48" s="15">
        <f t="shared" si="4"/>
        <v>46003410</v>
      </c>
      <c r="H48">
        <f t="shared" si="5"/>
        <v>40</v>
      </c>
      <c r="I48" s="15">
        <f t="shared" si="6"/>
        <v>216829</v>
      </c>
      <c r="J48" s="16">
        <f t="shared" si="9"/>
        <v>82398</v>
      </c>
      <c r="K48" s="15">
        <f t="shared" si="7"/>
        <v>134431</v>
      </c>
      <c r="L48" s="15">
        <f t="shared" si="8"/>
        <v>44810281</v>
      </c>
      <c r="O48" s="15"/>
      <c r="P48" s="16"/>
      <c r="Q48" s="15"/>
      <c r="R48" s="15"/>
    </row>
    <row r="49" spans="1:18" x14ac:dyDescent="0.55000000000000004">
      <c r="B49">
        <f t="shared" si="0"/>
        <v>41</v>
      </c>
      <c r="C49" s="15">
        <f t="shared" si="1"/>
        <v>272270</v>
      </c>
      <c r="D49" s="16">
        <f t="shared" si="2"/>
        <v>164845</v>
      </c>
      <c r="E49" s="15">
        <f t="shared" si="3"/>
        <v>107425</v>
      </c>
      <c r="F49" s="15">
        <f t="shared" si="4"/>
        <v>45895985</v>
      </c>
      <c r="H49">
        <f t="shared" si="5"/>
        <v>41</v>
      </c>
      <c r="I49" s="15">
        <f t="shared" si="6"/>
        <v>216829</v>
      </c>
      <c r="J49" s="16">
        <f t="shared" si="9"/>
        <v>82152</v>
      </c>
      <c r="K49" s="15">
        <f t="shared" si="7"/>
        <v>134677</v>
      </c>
      <c r="L49" s="15">
        <f t="shared" si="8"/>
        <v>44675604</v>
      </c>
      <c r="O49" s="15"/>
      <c r="P49" s="16"/>
      <c r="Q49" s="15"/>
      <c r="R49" s="15"/>
    </row>
    <row r="50" spans="1:18" x14ac:dyDescent="0.55000000000000004">
      <c r="B50">
        <f t="shared" si="0"/>
        <v>42</v>
      </c>
      <c r="C50" s="15">
        <f t="shared" si="1"/>
        <v>272270</v>
      </c>
      <c r="D50" s="16">
        <f t="shared" si="2"/>
        <v>164460</v>
      </c>
      <c r="E50" s="15">
        <f t="shared" si="3"/>
        <v>107810</v>
      </c>
      <c r="F50" s="15">
        <f t="shared" si="4"/>
        <v>45788175</v>
      </c>
      <c r="H50">
        <f t="shared" si="5"/>
        <v>42</v>
      </c>
      <c r="I50" s="15">
        <f t="shared" si="6"/>
        <v>216829</v>
      </c>
      <c r="J50" s="16">
        <f t="shared" si="9"/>
        <v>81905</v>
      </c>
      <c r="K50" s="15">
        <f t="shared" si="7"/>
        <v>134924</v>
      </c>
      <c r="L50" s="15">
        <f t="shared" si="8"/>
        <v>44540680</v>
      </c>
      <c r="O50" s="15"/>
      <c r="P50" s="16"/>
      <c r="Q50" s="15"/>
      <c r="R50" s="15"/>
    </row>
    <row r="51" spans="1:18" x14ac:dyDescent="0.55000000000000004">
      <c r="B51">
        <f t="shared" si="0"/>
        <v>43</v>
      </c>
      <c r="C51" s="15">
        <f t="shared" si="1"/>
        <v>272270</v>
      </c>
      <c r="D51" s="16">
        <f t="shared" si="2"/>
        <v>164074</v>
      </c>
      <c r="E51" s="15">
        <f t="shared" si="3"/>
        <v>108196</v>
      </c>
      <c r="F51" s="15">
        <f t="shared" si="4"/>
        <v>45679979</v>
      </c>
      <c r="H51">
        <f t="shared" si="5"/>
        <v>43</v>
      </c>
      <c r="I51" s="15">
        <f t="shared" si="6"/>
        <v>216829</v>
      </c>
      <c r="J51" s="16">
        <f t="shared" si="9"/>
        <v>81657</v>
      </c>
      <c r="K51" s="15">
        <f t="shared" si="7"/>
        <v>135172</v>
      </c>
      <c r="L51" s="15">
        <f t="shared" si="8"/>
        <v>44405508</v>
      </c>
      <c r="O51" s="15"/>
      <c r="P51" s="16"/>
      <c r="Q51" s="15"/>
      <c r="R51" s="15"/>
    </row>
    <row r="52" spans="1:18" x14ac:dyDescent="0.55000000000000004">
      <c r="B52">
        <f t="shared" si="0"/>
        <v>44</v>
      </c>
      <c r="C52" s="15">
        <f t="shared" si="1"/>
        <v>272270</v>
      </c>
      <c r="D52" s="16">
        <f t="shared" si="2"/>
        <v>163686</v>
      </c>
      <c r="E52" s="15">
        <f t="shared" si="3"/>
        <v>108584</v>
      </c>
      <c r="F52" s="15">
        <f t="shared" si="4"/>
        <v>45571395</v>
      </c>
      <c r="H52">
        <f t="shared" si="5"/>
        <v>44</v>
      </c>
      <c r="I52" s="15">
        <f t="shared" si="6"/>
        <v>216829</v>
      </c>
      <c r="J52" s="16">
        <f t="shared" si="9"/>
        <v>81410</v>
      </c>
      <c r="K52" s="15">
        <f t="shared" si="7"/>
        <v>135419</v>
      </c>
      <c r="L52" s="15">
        <f t="shared" si="8"/>
        <v>44270089</v>
      </c>
      <c r="O52" s="15"/>
      <c r="P52" s="16"/>
      <c r="Q52" s="15"/>
      <c r="R52" s="15"/>
    </row>
    <row r="53" spans="1:18" x14ac:dyDescent="0.55000000000000004">
      <c r="B53">
        <f t="shared" si="0"/>
        <v>45</v>
      </c>
      <c r="C53" s="15">
        <f t="shared" si="1"/>
        <v>272270</v>
      </c>
      <c r="D53" s="16">
        <f t="shared" si="2"/>
        <v>163297</v>
      </c>
      <c r="E53" s="15">
        <f t="shared" si="3"/>
        <v>108973</v>
      </c>
      <c r="F53" s="15">
        <f t="shared" si="4"/>
        <v>45462422</v>
      </c>
      <c r="H53">
        <f t="shared" si="5"/>
        <v>45</v>
      </c>
      <c r="I53" s="15">
        <f t="shared" si="6"/>
        <v>216829</v>
      </c>
      <c r="J53" s="16">
        <f t="shared" si="9"/>
        <v>81161</v>
      </c>
      <c r="K53" s="15">
        <f t="shared" si="7"/>
        <v>135668</v>
      </c>
      <c r="L53" s="15">
        <f t="shared" si="8"/>
        <v>44134421</v>
      </c>
      <c r="O53" s="15"/>
      <c r="P53" s="16"/>
      <c r="Q53" s="15"/>
      <c r="R53" s="15"/>
    </row>
    <row r="54" spans="1:18" x14ac:dyDescent="0.55000000000000004">
      <c r="B54">
        <f t="shared" si="0"/>
        <v>46</v>
      </c>
      <c r="C54" s="15">
        <f t="shared" si="1"/>
        <v>272270</v>
      </c>
      <c r="D54" s="16">
        <f t="shared" si="2"/>
        <v>162907</v>
      </c>
      <c r="E54" s="15">
        <f t="shared" si="3"/>
        <v>109363</v>
      </c>
      <c r="F54" s="15">
        <f t="shared" si="4"/>
        <v>45353059</v>
      </c>
      <c r="H54">
        <f t="shared" si="5"/>
        <v>46</v>
      </c>
      <c r="I54" s="15">
        <f t="shared" si="6"/>
        <v>216829</v>
      </c>
      <c r="J54" s="16">
        <f t="shared" si="9"/>
        <v>80913</v>
      </c>
      <c r="K54" s="15">
        <f t="shared" si="7"/>
        <v>135916</v>
      </c>
      <c r="L54" s="15">
        <f t="shared" si="8"/>
        <v>43998505</v>
      </c>
      <c r="O54" s="15"/>
      <c r="P54" s="16"/>
      <c r="Q54" s="15"/>
      <c r="R54" s="15"/>
    </row>
    <row r="55" spans="1:18" x14ac:dyDescent="0.55000000000000004">
      <c r="B55">
        <f t="shared" si="0"/>
        <v>47</v>
      </c>
      <c r="C55" s="15">
        <f t="shared" si="1"/>
        <v>272270</v>
      </c>
      <c r="D55" s="16">
        <f t="shared" si="2"/>
        <v>162515</v>
      </c>
      <c r="E55" s="15">
        <f t="shared" si="3"/>
        <v>109755</v>
      </c>
      <c r="F55" s="15">
        <f t="shared" si="4"/>
        <v>45243304</v>
      </c>
      <c r="H55">
        <f t="shared" si="5"/>
        <v>47</v>
      </c>
      <c r="I55" s="15">
        <f t="shared" si="6"/>
        <v>216829</v>
      </c>
      <c r="J55" s="16">
        <f t="shared" si="9"/>
        <v>80663</v>
      </c>
      <c r="K55" s="15">
        <f t="shared" si="7"/>
        <v>136166</v>
      </c>
      <c r="L55" s="15">
        <f t="shared" si="8"/>
        <v>43862339</v>
      </c>
      <c r="O55" s="15"/>
      <c r="P55" s="16"/>
      <c r="Q55" s="15"/>
      <c r="R55" s="15"/>
    </row>
    <row r="56" spans="1:18" x14ac:dyDescent="0.55000000000000004">
      <c r="B56">
        <f t="shared" si="0"/>
        <v>48</v>
      </c>
      <c r="C56" s="15">
        <f t="shared" si="1"/>
        <v>272270</v>
      </c>
      <c r="D56" s="16">
        <f t="shared" si="2"/>
        <v>162121</v>
      </c>
      <c r="E56" s="15">
        <f t="shared" si="3"/>
        <v>110149</v>
      </c>
      <c r="F56" s="15">
        <f t="shared" si="4"/>
        <v>45133155</v>
      </c>
      <c r="H56">
        <f t="shared" si="5"/>
        <v>48</v>
      </c>
      <c r="I56" s="15">
        <f t="shared" si="6"/>
        <v>216829</v>
      </c>
      <c r="J56" s="16">
        <f t="shared" si="9"/>
        <v>80414</v>
      </c>
      <c r="K56" s="15">
        <f t="shared" si="7"/>
        <v>136415</v>
      </c>
      <c r="L56" s="15">
        <f t="shared" si="8"/>
        <v>43725924</v>
      </c>
      <c r="O56" s="15"/>
      <c r="P56" s="16"/>
      <c r="Q56" s="15"/>
      <c r="R56" s="15"/>
    </row>
    <row r="57" spans="1:18" x14ac:dyDescent="0.55000000000000004">
      <c r="A57" t="s">
        <v>79</v>
      </c>
      <c r="B57">
        <f t="shared" si="0"/>
        <v>49</v>
      </c>
      <c r="C57" s="15">
        <f t="shared" si="1"/>
        <v>272270</v>
      </c>
      <c r="D57" s="16">
        <f t="shared" si="2"/>
        <v>161727</v>
      </c>
      <c r="E57" s="15">
        <f t="shared" si="3"/>
        <v>110543</v>
      </c>
      <c r="F57" s="15">
        <f t="shared" si="4"/>
        <v>45022612</v>
      </c>
      <c r="H57">
        <f t="shared" si="5"/>
        <v>49</v>
      </c>
      <c r="I57" s="15">
        <f t="shared" si="6"/>
        <v>216829</v>
      </c>
      <c r="J57" s="16">
        <f t="shared" si="9"/>
        <v>80164</v>
      </c>
      <c r="K57" s="15">
        <f t="shared" si="7"/>
        <v>136665</v>
      </c>
      <c r="L57" s="15">
        <f t="shared" si="8"/>
        <v>43589259</v>
      </c>
      <c r="O57" s="15"/>
      <c r="P57" s="16"/>
      <c r="Q57" s="15"/>
      <c r="R57" s="15"/>
    </row>
    <row r="58" spans="1:18" x14ac:dyDescent="0.55000000000000004">
      <c r="B58">
        <f t="shared" si="0"/>
        <v>50</v>
      </c>
      <c r="C58" s="15">
        <f t="shared" si="1"/>
        <v>272270</v>
      </c>
      <c r="D58" s="16">
        <f t="shared" si="2"/>
        <v>161331</v>
      </c>
      <c r="E58" s="15">
        <f t="shared" si="3"/>
        <v>110939</v>
      </c>
      <c r="F58" s="15">
        <f t="shared" si="4"/>
        <v>44911673</v>
      </c>
      <c r="H58">
        <f t="shared" si="5"/>
        <v>50</v>
      </c>
      <c r="I58" s="15">
        <f t="shared" si="6"/>
        <v>216829</v>
      </c>
      <c r="J58" s="16">
        <f t="shared" si="9"/>
        <v>79913</v>
      </c>
      <c r="K58" s="15">
        <f t="shared" si="7"/>
        <v>136916</v>
      </c>
      <c r="L58" s="15">
        <f t="shared" si="8"/>
        <v>43452343</v>
      </c>
      <c r="O58" s="15"/>
      <c r="P58" s="16"/>
      <c r="Q58" s="15"/>
      <c r="R58" s="15"/>
    </row>
    <row r="59" spans="1:18" x14ac:dyDescent="0.55000000000000004">
      <c r="B59">
        <f t="shared" si="0"/>
        <v>51</v>
      </c>
      <c r="C59" s="15">
        <f t="shared" si="1"/>
        <v>272270</v>
      </c>
      <c r="D59" s="16">
        <f t="shared" si="2"/>
        <v>160933</v>
      </c>
      <c r="E59" s="15">
        <f t="shared" si="3"/>
        <v>111337</v>
      </c>
      <c r="F59" s="15">
        <f t="shared" si="4"/>
        <v>44800336</v>
      </c>
      <c r="H59">
        <f t="shared" si="5"/>
        <v>51</v>
      </c>
      <c r="I59" s="15">
        <f t="shared" si="6"/>
        <v>216829</v>
      </c>
      <c r="J59" s="16">
        <f t="shared" si="9"/>
        <v>79662</v>
      </c>
      <c r="K59" s="15">
        <f t="shared" si="7"/>
        <v>137167</v>
      </c>
      <c r="L59" s="15">
        <f t="shared" si="8"/>
        <v>43315176</v>
      </c>
      <c r="O59" s="15"/>
      <c r="P59" s="16"/>
      <c r="Q59" s="15"/>
      <c r="R59" s="15"/>
    </row>
    <row r="60" spans="1:18" x14ac:dyDescent="0.55000000000000004">
      <c r="B60">
        <f t="shared" si="0"/>
        <v>52</v>
      </c>
      <c r="C60" s="15">
        <f t="shared" si="1"/>
        <v>272270</v>
      </c>
      <c r="D60" s="16">
        <f t="shared" si="2"/>
        <v>160534</v>
      </c>
      <c r="E60" s="15">
        <f t="shared" si="3"/>
        <v>111736</v>
      </c>
      <c r="F60" s="15">
        <f t="shared" si="4"/>
        <v>44688600</v>
      </c>
      <c r="H60">
        <f t="shared" si="5"/>
        <v>52</v>
      </c>
      <c r="I60" s="15">
        <f t="shared" si="6"/>
        <v>216829</v>
      </c>
      <c r="J60" s="16">
        <f t="shared" si="9"/>
        <v>79411</v>
      </c>
      <c r="K60" s="15">
        <f t="shared" si="7"/>
        <v>137418</v>
      </c>
      <c r="L60" s="15">
        <f t="shared" si="8"/>
        <v>43177758</v>
      </c>
      <c r="O60" s="15"/>
      <c r="P60" s="16"/>
      <c r="Q60" s="15"/>
      <c r="R60" s="15"/>
    </row>
    <row r="61" spans="1:18" x14ac:dyDescent="0.55000000000000004">
      <c r="B61">
        <f t="shared" si="0"/>
        <v>53</v>
      </c>
      <c r="C61" s="15">
        <f t="shared" si="1"/>
        <v>272270</v>
      </c>
      <c r="D61" s="16">
        <f t="shared" si="2"/>
        <v>160134</v>
      </c>
      <c r="E61" s="15">
        <f t="shared" si="3"/>
        <v>112136</v>
      </c>
      <c r="F61" s="15">
        <f t="shared" si="4"/>
        <v>44576464</v>
      </c>
      <c r="H61">
        <f t="shared" si="5"/>
        <v>53</v>
      </c>
      <c r="I61" s="15">
        <f t="shared" si="6"/>
        <v>216829</v>
      </c>
      <c r="J61" s="16">
        <f t="shared" si="9"/>
        <v>79159</v>
      </c>
      <c r="K61" s="15">
        <f t="shared" si="7"/>
        <v>137670</v>
      </c>
      <c r="L61" s="15">
        <f t="shared" si="8"/>
        <v>43040088</v>
      </c>
      <c r="O61" s="15"/>
      <c r="P61" s="16"/>
      <c r="Q61" s="15"/>
      <c r="R61" s="15"/>
    </row>
    <row r="62" spans="1:18" x14ac:dyDescent="0.55000000000000004">
      <c r="B62">
        <f t="shared" si="0"/>
        <v>54</v>
      </c>
      <c r="C62" s="15">
        <f t="shared" si="1"/>
        <v>272270</v>
      </c>
      <c r="D62" s="16">
        <f t="shared" si="2"/>
        <v>159732</v>
      </c>
      <c r="E62" s="15">
        <f t="shared" si="3"/>
        <v>112538</v>
      </c>
      <c r="F62" s="15">
        <f t="shared" si="4"/>
        <v>44463926</v>
      </c>
      <c r="H62">
        <f t="shared" si="5"/>
        <v>54</v>
      </c>
      <c r="I62" s="15">
        <f t="shared" si="6"/>
        <v>216829</v>
      </c>
      <c r="J62" s="16">
        <f t="shared" si="9"/>
        <v>78906</v>
      </c>
      <c r="K62" s="15">
        <f t="shared" si="7"/>
        <v>137923</v>
      </c>
      <c r="L62" s="15">
        <f t="shared" si="8"/>
        <v>42902165</v>
      </c>
      <c r="O62" s="15"/>
      <c r="P62" s="16"/>
      <c r="Q62" s="15"/>
      <c r="R62" s="15"/>
    </row>
    <row r="63" spans="1:18" x14ac:dyDescent="0.55000000000000004">
      <c r="B63">
        <f t="shared" si="0"/>
        <v>55</v>
      </c>
      <c r="C63" s="15">
        <f t="shared" si="1"/>
        <v>272270</v>
      </c>
      <c r="D63" s="16">
        <f t="shared" si="2"/>
        <v>159329</v>
      </c>
      <c r="E63" s="15">
        <f t="shared" si="3"/>
        <v>112941</v>
      </c>
      <c r="F63" s="15">
        <f t="shared" si="4"/>
        <v>44350985</v>
      </c>
      <c r="H63">
        <f t="shared" si="5"/>
        <v>55</v>
      </c>
      <c r="I63" s="15">
        <f t="shared" si="6"/>
        <v>216829</v>
      </c>
      <c r="J63" s="16">
        <f t="shared" si="9"/>
        <v>78653</v>
      </c>
      <c r="K63" s="15">
        <f t="shared" si="7"/>
        <v>138176</v>
      </c>
      <c r="L63" s="15">
        <f t="shared" si="8"/>
        <v>42763989</v>
      </c>
      <c r="O63" s="15"/>
      <c r="P63" s="16"/>
      <c r="Q63" s="15"/>
      <c r="R63" s="15"/>
    </row>
    <row r="64" spans="1:18" x14ac:dyDescent="0.55000000000000004">
      <c r="B64">
        <f t="shared" si="0"/>
        <v>56</v>
      </c>
      <c r="C64" s="15">
        <f t="shared" si="1"/>
        <v>272270</v>
      </c>
      <c r="D64" s="16">
        <f t="shared" si="2"/>
        <v>158924</v>
      </c>
      <c r="E64" s="15">
        <f t="shared" si="3"/>
        <v>113346</v>
      </c>
      <c r="F64" s="15">
        <f t="shared" si="4"/>
        <v>44237639</v>
      </c>
      <c r="H64">
        <f t="shared" si="5"/>
        <v>56</v>
      </c>
      <c r="I64" s="15">
        <f t="shared" si="6"/>
        <v>216829</v>
      </c>
      <c r="J64" s="16">
        <f t="shared" si="9"/>
        <v>78400</v>
      </c>
      <c r="K64" s="15">
        <f t="shared" si="7"/>
        <v>138429</v>
      </c>
      <c r="L64" s="15">
        <f t="shared" si="8"/>
        <v>42625560</v>
      </c>
      <c r="O64" s="15"/>
      <c r="P64" s="16"/>
      <c r="Q64" s="15"/>
      <c r="R64" s="15"/>
    </row>
    <row r="65" spans="1:18" x14ac:dyDescent="0.55000000000000004">
      <c r="B65">
        <f t="shared" si="0"/>
        <v>57</v>
      </c>
      <c r="C65" s="15">
        <f t="shared" si="1"/>
        <v>272270</v>
      </c>
      <c r="D65" s="16">
        <f t="shared" si="2"/>
        <v>158518</v>
      </c>
      <c r="E65" s="15">
        <f t="shared" si="3"/>
        <v>113752</v>
      </c>
      <c r="F65" s="15">
        <f t="shared" si="4"/>
        <v>44123887</v>
      </c>
      <c r="H65">
        <f t="shared" si="5"/>
        <v>57</v>
      </c>
      <c r="I65" s="15">
        <f t="shared" si="6"/>
        <v>216829</v>
      </c>
      <c r="J65" s="16">
        <f t="shared" si="9"/>
        <v>78146</v>
      </c>
      <c r="K65" s="15">
        <f t="shared" si="7"/>
        <v>138683</v>
      </c>
      <c r="L65" s="15">
        <f t="shared" si="8"/>
        <v>42486877</v>
      </c>
      <c r="O65" s="15"/>
      <c r="P65" s="16"/>
      <c r="Q65" s="15"/>
      <c r="R65" s="15"/>
    </row>
    <row r="66" spans="1:18" x14ac:dyDescent="0.55000000000000004">
      <c r="B66">
        <f t="shared" si="0"/>
        <v>58</v>
      </c>
      <c r="C66" s="15">
        <f t="shared" si="1"/>
        <v>272270</v>
      </c>
      <c r="D66" s="16">
        <f t="shared" si="2"/>
        <v>158110</v>
      </c>
      <c r="E66" s="15">
        <f t="shared" si="3"/>
        <v>114160</v>
      </c>
      <c r="F66" s="15">
        <f t="shared" si="4"/>
        <v>44009727</v>
      </c>
      <c r="H66">
        <f t="shared" si="5"/>
        <v>58</v>
      </c>
      <c r="I66" s="15">
        <f t="shared" si="6"/>
        <v>216829</v>
      </c>
      <c r="J66" s="16">
        <f t="shared" si="9"/>
        <v>77892</v>
      </c>
      <c r="K66" s="15">
        <f t="shared" si="7"/>
        <v>138937</v>
      </c>
      <c r="L66" s="15">
        <f t="shared" si="8"/>
        <v>42347940</v>
      </c>
      <c r="O66" s="15"/>
      <c r="P66" s="16"/>
      <c r="Q66" s="15"/>
      <c r="R66" s="15"/>
    </row>
    <row r="67" spans="1:18" x14ac:dyDescent="0.55000000000000004">
      <c r="B67">
        <f t="shared" si="0"/>
        <v>59</v>
      </c>
      <c r="C67" s="15">
        <f t="shared" si="1"/>
        <v>272270</v>
      </c>
      <c r="D67" s="16">
        <f t="shared" si="2"/>
        <v>157701</v>
      </c>
      <c r="E67" s="15">
        <f t="shared" si="3"/>
        <v>114569</v>
      </c>
      <c r="F67" s="15">
        <f t="shared" si="4"/>
        <v>43895158</v>
      </c>
      <c r="H67">
        <f t="shared" si="5"/>
        <v>59</v>
      </c>
      <c r="I67" s="15">
        <f t="shared" si="6"/>
        <v>216829</v>
      </c>
      <c r="J67" s="16">
        <f t="shared" si="9"/>
        <v>77637</v>
      </c>
      <c r="K67" s="15">
        <f t="shared" si="7"/>
        <v>139192</v>
      </c>
      <c r="L67" s="15">
        <f t="shared" si="8"/>
        <v>42208748</v>
      </c>
      <c r="O67" s="15"/>
      <c r="P67" s="16"/>
      <c r="Q67" s="15"/>
      <c r="R67" s="15"/>
    </row>
    <row r="68" spans="1:18" x14ac:dyDescent="0.55000000000000004">
      <c r="B68">
        <f t="shared" si="0"/>
        <v>60</v>
      </c>
      <c r="C68" s="15">
        <f t="shared" si="1"/>
        <v>272270</v>
      </c>
      <c r="D68" s="16">
        <f t="shared" si="2"/>
        <v>157290</v>
      </c>
      <c r="E68" s="15">
        <f t="shared" si="3"/>
        <v>114980</v>
      </c>
      <c r="F68" s="15">
        <f t="shared" si="4"/>
        <v>43780178</v>
      </c>
      <c r="H68">
        <f t="shared" si="5"/>
        <v>60</v>
      </c>
      <c r="I68" s="15">
        <f t="shared" si="6"/>
        <v>216829</v>
      </c>
      <c r="J68" s="16">
        <f t="shared" si="9"/>
        <v>77382</v>
      </c>
      <c r="K68" s="15">
        <f t="shared" si="7"/>
        <v>139447</v>
      </c>
      <c r="L68" s="15">
        <f t="shared" si="8"/>
        <v>42069301</v>
      </c>
      <c r="O68" s="15"/>
      <c r="P68" s="16"/>
      <c r="Q68" s="15"/>
      <c r="R68" s="15"/>
    </row>
    <row r="69" spans="1:18" x14ac:dyDescent="0.55000000000000004">
      <c r="A69" t="s">
        <v>80</v>
      </c>
      <c r="B69">
        <f t="shared" si="0"/>
        <v>61</v>
      </c>
      <c r="C69" s="15">
        <f t="shared" si="1"/>
        <v>272270</v>
      </c>
      <c r="D69" s="16">
        <f t="shared" si="2"/>
        <v>156878</v>
      </c>
      <c r="E69" s="15">
        <f t="shared" si="3"/>
        <v>115392</v>
      </c>
      <c r="F69" s="15">
        <f t="shared" si="4"/>
        <v>43664786</v>
      </c>
      <c r="H69">
        <f t="shared" si="5"/>
        <v>61</v>
      </c>
      <c r="I69" s="15">
        <f t="shared" si="6"/>
        <v>216829</v>
      </c>
      <c r="J69" s="16">
        <f t="shared" si="9"/>
        <v>77127</v>
      </c>
      <c r="K69" s="15">
        <f t="shared" si="7"/>
        <v>139702</v>
      </c>
      <c r="L69" s="15">
        <f t="shared" si="8"/>
        <v>41929599</v>
      </c>
      <c r="O69" s="15"/>
      <c r="P69" s="16"/>
      <c r="Q69" s="15"/>
      <c r="R69" s="15"/>
    </row>
    <row r="70" spans="1:18" x14ac:dyDescent="0.55000000000000004">
      <c r="B70">
        <f t="shared" si="0"/>
        <v>62</v>
      </c>
      <c r="C70" s="15">
        <f t="shared" si="1"/>
        <v>272270</v>
      </c>
      <c r="D70" s="16">
        <f t="shared" si="2"/>
        <v>156465</v>
      </c>
      <c r="E70" s="15">
        <f t="shared" si="3"/>
        <v>115805</v>
      </c>
      <c r="F70" s="15">
        <f t="shared" si="4"/>
        <v>43548981</v>
      </c>
      <c r="H70">
        <f t="shared" si="5"/>
        <v>62</v>
      </c>
      <c r="I70" s="15">
        <f t="shared" si="6"/>
        <v>216829</v>
      </c>
      <c r="J70" s="16">
        <f t="shared" si="9"/>
        <v>76870</v>
      </c>
      <c r="K70" s="15">
        <f t="shared" si="7"/>
        <v>139959</v>
      </c>
      <c r="L70" s="15">
        <f t="shared" si="8"/>
        <v>41789640</v>
      </c>
      <c r="O70" s="15"/>
      <c r="P70" s="16"/>
      <c r="Q70" s="15"/>
      <c r="R70" s="15"/>
    </row>
    <row r="71" spans="1:18" x14ac:dyDescent="0.55000000000000004">
      <c r="B71">
        <f t="shared" si="0"/>
        <v>63</v>
      </c>
      <c r="C71" s="15">
        <f t="shared" si="1"/>
        <v>272270</v>
      </c>
      <c r="D71" s="16">
        <f t="shared" si="2"/>
        <v>156050</v>
      </c>
      <c r="E71" s="15">
        <f t="shared" si="3"/>
        <v>116220</v>
      </c>
      <c r="F71" s="15">
        <f t="shared" si="4"/>
        <v>43432761</v>
      </c>
      <c r="H71">
        <f t="shared" si="5"/>
        <v>63</v>
      </c>
      <c r="I71" s="15">
        <f t="shared" si="6"/>
        <v>216829</v>
      </c>
      <c r="J71" s="16">
        <f t="shared" si="9"/>
        <v>76614</v>
      </c>
      <c r="K71" s="15">
        <f t="shared" si="7"/>
        <v>140215</v>
      </c>
      <c r="L71" s="15">
        <f t="shared" si="8"/>
        <v>41649425</v>
      </c>
      <c r="O71" s="15"/>
      <c r="P71" s="16"/>
      <c r="Q71" s="15"/>
      <c r="R71" s="15"/>
    </row>
    <row r="72" spans="1:18" x14ac:dyDescent="0.55000000000000004">
      <c r="B72">
        <f t="shared" si="0"/>
        <v>64</v>
      </c>
      <c r="C72" s="15">
        <f t="shared" si="1"/>
        <v>272270</v>
      </c>
      <c r="D72" s="16">
        <f t="shared" si="2"/>
        <v>155634</v>
      </c>
      <c r="E72" s="15">
        <f t="shared" si="3"/>
        <v>116636</v>
      </c>
      <c r="F72" s="15">
        <f t="shared" si="4"/>
        <v>43316125</v>
      </c>
      <c r="H72">
        <f t="shared" si="5"/>
        <v>64</v>
      </c>
      <c r="I72" s="15">
        <f t="shared" si="6"/>
        <v>216829</v>
      </c>
      <c r="J72" s="16">
        <f t="shared" si="9"/>
        <v>76357</v>
      </c>
      <c r="K72" s="15">
        <f t="shared" si="7"/>
        <v>140472</v>
      </c>
      <c r="L72" s="15">
        <f t="shared" si="8"/>
        <v>41508953</v>
      </c>
      <c r="O72" s="15"/>
      <c r="P72" s="16"/>
      <c r="Q72" s="15"/>
      <c r="R72" s="15"/>
    </row>
    <row r="73" spans="1:18" x14ac:dyDescent="0.55000000000000004">
      <c r="B73">
        <f t="shared" si="0"/>
        <v>65</v>
      </c>
      <c r="C73" s="15">
        <f t="shared" si="1"/>
        <v>272270</v>
      </c>
      <c r="D73" s="16">
        <f t="shared" si="2"/>
        <v>155216</v>
      </c>
      <c r="E73" s="15">
        <f t="shared" si="3"/>
        <v>117054</v>
      </c>
      <c r="F73" s="15">
        <f t="shared" si="4"/>
        <v>43199071</v>
      </c>
      <c r="H73">
        <f t="shared" si="5"/>
        <v>65</v>
      </c>
      <c r="I73" s="15">
        <f t="shared" si="6"/>
        <v>216829</v>
      </c>
      <c r="J73" s="16">
        <f t="shared" si="9"/>
        <v>76099</v>
      </c>
      <c r="K73" s="15">
        <f t="shared" si="7"/>
        <v>140730</v>
      </c>
      <c r="L73" s="15">
        <f t="shared" si="8"/>
        <v>41368223</v>
      </c>
      <c r="O73" s="15"/>
      <c r="P73" s="16"/>
      <c r="Q73" s="15"/>
      <c r="R73" s="15"/>
    </row>
    <row r="74" spans="1:18" x14ac:dyDescent="0.55000000000000004">
      <c r="B74">
        <f t="shared" si="0"/>
        <v>66</v>
      </c>
      <c r="C74" s="15">
        <f t="shared" si="1"/>
        <v>272270</v>
      </c>
      <c r="D74" s="16">
        <f t="shared" si="2"/>
        <v>154796</v>
      </c>
      <c r="E74" s="15">
        <f t="shared" si="3"/>
        <v>117474</v>
      </c>
      <c r="F74" s="15">
        <f t="shared" si="4"/>
        <v>43081597</v>
      </c>
      <c r="H74">
        <f t="shared" si="5"/>
        <v>66</v>
      </c>
      <c r="I74" s="15">
        <f t="shared" si="6"/>
        <v>216829</v>
      </c>
      <c r="J74" s="16">
        <f t="shared" si="9"/>
        <v>75841</v>
      </c>
      <c r="K74" s="15">
        <f t="shared" si="7"/>
        <v>140988</v>
      </c>
      <c r="L74" s="15">
        <f t="shared" si="8"/>
        <v>41227235</v>
      </c>
      <c r="O74" s="15"/>
      <c r="P74" s="16"/>
      <c r="Q74" s="15"/>
      <c r="R74" s="15"/>
    </row>
    <row r="75" spans="1:18" x14ac:dyDescent="0.55000000000000004">
      <c r="B75">
        <f t="shared" ref="B75:B138" si="10">B74+1</f>
        <v>67</v>
      </c>
      <c r="C75" s="15">
        <f t="shared" ref="C75:C138" si="11">C74</f>
        <v>272270</v>
      </c>
      <c r="D75" s="16">
        <f t="shared" ref="D75:D138" si="12">INT(F74*$D$3/12)</f>
        <v>154375</v>
      </c>
      <c r="E75" s="15">
        <f t="shared" ref="E75:E138" si="13">C75-D75</f>
        <v>117895</v>
      </c>
      <c r="F75" s="15">
        <f t="shared" ref="F75:F138" si="14">F74-E75</f>
        <v>42963702</v>
      </c>
      <c r="H75">
        <f t="shared" ref="H75:H138" si="15">H74+1</f>
        <v>67</v>
      </c>
      <c r="I75" s="15">
        <f t="shared" ref="I75:I138" si="16">I74</f>
        <v>216829</v>
      </c>
      <c r="J75" s="16">
        <f t="shared" si="9"/>
        <v>75583</v>
      </c>
      <c r="K75" s="15">
        <f t="shared" ref="K75:K138" si="17">I75-J75</f>
        <v>141246</v>
      </c>
      <c r="L75" s="15">
        <f t="shared" ref="L75:L138" si="18">L74-K75</f>
        <v>41085989</v>
      </c>
      <c r="O75" s="15"/>
      <c r="P75" s="16"/>
      <c r="Q75" s="15"/>
      <c r="R75" s="15"/>
    </row>
    <row r="76" spans="1:18" x14ac:dyDescent="0.55000000000000004">
      <c r="B76">
        <f t="shared" si="10"/>
        <v>68</v>
      </c>
      <c r="C76" s="15">
        <f t="shared" si="11"/>
        <v>272270</v>
      </c>
      <c r="D76" s="16">
        <f t="shared" si="12"/>
        <v>153953</v>
      </c>
      <c r="E76" s="15">
        <f t="shared" si="13"/>
        <v>118317</v>
      </c>
      <c r="F76" s="15">
        <f t="shared" si="14"/>
        <v>42845385</v>
      </c>
      <c r="H76">
        <f t="shared" si="15"/>
        <v>68</v>
      </c>
      <c r="I76" s="15">
        <f t="shared" si="16"/>
        <v>216829</v>
      </c>
      <c r="J76" s="16">
        <f t="shared" ref="J76:J139" si="19">INT(L75*$J$3/12)</f>
        <v>75324</v>
      </c>
      <c r="K76" s="15">
        <f t="shared" si="17"/>
        <v>141505</v>
      </c>
      <c r="L76" s="15">
        <f t="shared" si="18"/>
        <v>40944484</v>
      </c>
      <c r="O76" s="15"/>
      <c r="P76" s="16"/>
      <c r="Q76" s="15"/>
      <c r="R76" s="15"/>
    </row>
    <row r="77" spans="1:18" x14ac:dyDescent="0.55000000000000004">
      <c r="B77">
        <f t="shared" si="10"/>
        <v>69</v>
      </c>
      <c r="C77" s="15">
        <f t="shared" si="11"/>
        <v>272270</v>
      </c>
      <c r="D77" s="16">
        <f t="shared" si="12"/>
        <v>153529</v>
      </c>
      <c r="E77" s="15">
        <f t="shared" si="13"/>
        <v>118741</v>
      </c>
      <c r="F77" s="15">
        <f t="shared" si="14"/>
        <v>42726644</v>
      </c>
      <c r="H77">
        <f t="shared" si="15"/>
        <v>69</v>
      </c>
      <c r="I77" s="15">
        <f t="shared" si="16"/>
        <v>216829</v>
      </c>
      <c r="J77" s="16">
        <f t="shared" si="19"/>
        <v>75064</v>
      </c>
      <c r="K77" s="15">
        <f t="shared" si="17"/>
        <v>141765</v>
      </c>
      <c r="L77" s="15">
        <f t="shared" si="18"/>
        <v>40802719</v>
      </c>
      <c r="O77" s="15"/>
      <c r="P77" s="16"/>
      <c r="Q77" s="15"/>
      <c r="R77" s="15"/>
    </row>
    <row r="78" spans="1:18" x14ac:dyDescent="0.55000000000000004">
      <c r="B78">
        <f t="shared" si="10"/>
        <v>70</v>
      </c>
      <c r="C78" s="15">
        <f t="shared" si="11"/>
        <v>272270</v>
      </c>
      <c r="D78" s="16">
        <f t="shared" si="12"/>
        <v>153103</v>
      </c>
      <c r="E78" s="15">
        <f t="shared" si="13"/>
        <v>119167</v>
      </c>
      <c r="F78" s="15">
        <f t="shared" si="14"/>
        <v>42607477</v>
      </c>
      <c r="H78">
        <f t="shared" si="15"/>
        <v>70</v>
      </c>
      <c r="I78" s="15">
        <f t="shared" si="16"/>
        <v>216829</v>
      </c>
      <c r="J78" s="16">
        <f t="shared" si="19"/>
        <v>74804</v>
      </c>
      <c r="K78" s="15">
        <f t="shared" si="17"/>
        <v>142025</v>
      </c>
      <c r="L78" s="15">
        <f t="shared" si="18"/>
        <v>40660694</v>
      </c>
      <c r="O78" s="15"/>
      <c r="P78" s="16"/>
      <c r="Q78" s="15"/>
      <c r="R78" s="15"/>
    </row>
    <row r="79" spans="1:18" x14ac:dyDescent="0.55000000000000004">
      <c r="B79">
        <f t="shared" si="10"/>
        <v>71</v>
      </c>
      <c r="C79" s="15">
        <f t="shared" si="11"/>
        <v>272270</v>
      </c>
      <c r="D79" s="16">
        <f t="shared" si="12"/>
        <v>152676</v>
      </c>
      <c r="E79" s="15">
        <f t="shared" si="13"/>
        <v>119594</v>
      </c>
      <c r="F79" s="15">
        <f t="shared" si="14"/>
        <v>42487883</v>
      </c>
      <c r="H79">
        <f t="shared" si="15"/>
        <v>71</v>
      </c>
      <c r="I79" s="15">
        <f t="shared" si="16"/>
        <v>216829</v>
      </c>
      <c r="J79" s="16">
        <f t="shared" si="19"/>
        <v>74544</v>
      </c>
      <c r="K79" s="15">
        <f t="shared" si="17"/>
        <v>142285</v>
      </c>
      <c r="L79" s="15">
        <f t="shared" si="18"/>
        <v>40518409</v>
      </c>
      <c r="O79" s="15"/>
      <c r="P79" s="16"/>
      <c r="Q79" s="15"/>
      <c r="R79" s="15"/>
    </row>
    <row r="80" spans="1:18" x14ac:dyDescent="0.55000000000000004">
      <c r="B80">
        <f t="shared" si="10"/>
        <v>72</v>
      </c>
      <c r="C80" s="15">
        <f t="shared" si="11"/>
        <v>272270</v>
      </c>
      <c r="D80" s="16">
        <f t="shared" si="12"/>
        <v>152248</v>
      </c>
      <c r="E80" s="15">
        <f t="shared" si="13"/>
        <v>120022</v>
      </c>
      <c r="F80" s="15">
        <f t="shared" si="14"/>
        <v>42367861</v>
      </c>
      <c r="H80">
        <f t="shared" si="15"/>
        <v>72</v>
      </c>
      <c r="I80" s="15">
        <f t="shared" si="16"/>
        <v>216829</v>
      </c>
      <c r="J80" s="16">
        <f t="shared" si="19"/>
        <v>74283</v>
      </c>
      <c r="K80" s="15">
        <f t="shared" si="17"/>
        <v>142546</v>
      </c>
      <c r="L80" s="15">
        <f t="shared" si="18"/>
        <v>40375863</v>
      </c>
      <c r="O80" s="15"/>
      <c r="P80" s="16"/>
      <c r="Q80" s="15"/>
      <c r="R80" s="15"/>
    </row>
    <row r="81" spans="2:18" x14ac:dyDescent="0.55000000000000004">
      <c r="B81">
        <f t="shared" si="10"/>
        <v>73</v>
      </c>
      <c r="C81" s="15">
        <f t="shared" si="11"/>
        <v>272270</v>
      </c>
      <c r="D81" s="16">
        <f t="shared" si="12"/>
        <v>151818</v>
      </c>
      <c r="E81" s="15">
        <f t="shared" si="13"/>
        <v>120452</v>
      </c>
      <c r="F81" s="15">
        <f t="shared" si="14"/>
        <v>42247409</v>
      </c>
      <c r="H81">
        <f t="shared" si="15"/>
        <v>73</v>
      </c>
      <c r="I81" s="15">
        <f t="shared" si="16"/>
        <v>216829</v>
      </c>
      <c r="J81" s="16">
        <f t="shared" si="19"/>
        <v>74022</v>
      </c>
      <c r="K81" s="15">
        <f t="shared" si="17"/>
        <v>142807</v>
      </c>
      <c r="L81" s="15">
        <f t="shared" si="18"/>
        <v>40233056</v>
      </c>
      <c r="O81" s="15"/>
      <c r="P81" s="16"/>
      <c r="Q81" s="15"/>
      <c r="R81" s="15"/>
    </row>
    <row r="82" spans="2:18" x14ac:dyDescent="0.55000000000000004">
      <c r="B82">
        <f t="shared" si="10"/>
        <v>74</v>
      </c>
      <c r="C82" s="15">
        <f t="shared" si="11"/>
        <v>272270</v>
      </c>
      <c r="D82" s="16">
        <f t="shared" si="12"/>
        <v>151386</v>
      </c>
      <c r="E82" s="15">
        <f t="shared" si="13"/>
        <v>120884</v>
      </c>
      <c r="F82" s="15">
        <f t="shared" si="14"/>
        <v>42126525</v>
      </c>
      <c r="H82">
        <f t="shared" si="15"/>
        <v>74</v>
      </c>
      <c r="I82" s="15">
        <f t="shared" si="16"/>
        <v>216829</v>
      </c>
      <c r="J82" s="16">
        <f t="shared" si="19"/>
        <v>73760</v>
      </c>
      <c r="K82" s="15">
        <f t="shared" si="17"/>
        <v>143069</v>
      </c>
      <c r="L82" s="15">
        <f t="shared" si="18"/>
        <v>40089987</v>
      </c>
      <c r="O82" s="15"/>
      <c r="P82" s="16"/>
      <c r="Q82" s="15"/>
      <c r="R82" s="15"/>
    </row>
    <row r="83" spans="2:18" x14ac:dyDescent="0.55000000000000004">
      <c r="B83">
        <f t="shared" si="10"/>
        <v>75</v>
      </c>
      <c r="C83" s="15">
        <f t="shared" si="11"/>
        <v>272270</v>
      </c>
      <c r="D83" s="16">
        <f t="shared" si="12"/>
        <v>150953</v>
      </c>
      <c r="E83" s="15">
        <f t="shared" si="13"/>
        <v>121317</v>
      </c>
      <c r="F83" s="15">
        <f t="shared" si="14"/>
        <v>42005208</v>
      </c>
      <c r="H83">
        <f t="shared" si="15"/>
        <v>75</v>
      </c>
      <c r="I83" s="15">
        <f t="shared" si="16"/>
        <v>216829</v>
      </c>
      <c r="J83" s="16">
        <f t="shared" si="19"/>
        <v>73498</v>
      </c>
      <c r="K83" s="15">
        <f t="shared" si="17"/>
        <v>143331</v>
      </c>
      <c r="L83" s="15">
        <f t="shared" si="18"/>
        <v>39946656</v>
      </c>
      <c r="O83" s="15"/>
      <c r="P83" s="16"/>
      <c r="Q83" s="15"/>
      <c r="R83" s="15"/>
    </row>
    <row r="84" spans="2:18" x14ac:dyDescent="0.55000000000000004">
      <c r="B84">
        <f t="shared" si="10"/>
        <v>76</v>
      </c>
      <c r="C84" s="15">
        <f t="shared" si="11"/>
        <v>272270</v>
      </c>
      <c r="D84" s="16">
        <f t="shared" si="12"/>
        <v>150518</v>
      </c>
      <c r="E84" s="15">
        <f t="shared" si="13"/>
        <v>121752</v>
      </c>
      <c r="F84" s="15">
        <f t="shared" si="14"/>
        <v>41883456</v>
      </c>
      <c r="H84">
        <f t="shared" si="15"/>
        <v>76</v>
      </c>
      <c r="I84" s="15">
        <f t="shared" si="16"/>
        <v>216829</v>
      </c>
      <c r="J84" s="16">
        <f t="shared" si="19"/>
        <v>73235</v>
      </c>
      <c r="K84" s="15">
        <f t="shared" si="17"/>
        <v>143594</v>
      </c>
      <c r="L84" s="15">
        <f t="shared" si="18"/>
        <v>39803062</v>
      </c>
      <c r="O84" s="15"/>
      <c r="P84" s="16"/>
      <c r="Q84" s="15"/>
      <c r="R84" s="15"/>
    </row>
    <row r="85" spans="2:18" x14ac:dyDescent="0.55000000000000004">
      <c r="B85">
        <f t="shared" si="10"/>
        <v>77</v>
      </c>
      <c r="C85" s="15">
        <f t="shared" si="11"/>
        <v>272270</v>
      </c>
      <c r="D85" s="16">
        <f t="shared" si="12"/>
        <v>150082</v>
      </c>
      <c r="E85" s="15">
        <f t="shared" si="13"/>
        <v>122188</v>
      </c>
      <c r="F85" s="15">
        <f t="shared" si="14"/>
        <v>41761268</v>
      </c>
      <c r="H85">
        <f t="shared" si="15"/>
        <v>77</v>
      </c>
      <c r="I85" s="15">
        <f t="shared" si="16"/>
        <v>216829</v>
      </c>
      <c r="J85" s="16">
        <f t="shared" si="19"/>
        <v>72972</v>
      </c>
      <c r="K85" s="15">
        <f t="shared" si="17"/>
        <v>143857</v>
      </c>
      <c r="L85" s="15">
        <f t="shared" si="18"/>
        <v>39659205</v>
      </c>
      <c r="O85" s="15"/>
      <c r="P85" s="16"/>
      <c r="Q85" s="15"/>
      <c r="R85" s="15"/>
    </row>
    <row r="86" spans="2:18" x14ac:dyDescent="0.55000000000000004">
      <c r="B86">
        <f t="shared" si="10"/>
        <v>78</v>
      </c>
      <c r="C86" s="15">
        <f t="shared" si="11"/>
        <v>272270</v>
      </c>
      <c r="D86" s="16">
        <f t="shared" si="12"/>
        <v>149644</v>
      </c>
      <c r="E86" s="15">
        <f t="shared" si="13"/>
        <v>122626</v>
      </c>
      <c r="F86" s="15">
        <f t="shared" si="14"/>
        <v>41638642</v>
      </c>
      <c r="H86">
        <f t="shared" si="15"/>
        <v>78</v>
      </c>
      <c r="I86" s="15">
        <f t="shared" si="16"/>
        <v>216829</v>
      </c>
      <c r="J86" s="16">
        <f t="shared" si="19"/>
        <v>72708</v>
      </c>
      <c r="K86" s="15">
        <f t="shared" si="17"/>
        <v>144121</v>
      </c>
      <c r="L86" s="15">
        <f t="shared" si="18"/>
        <v>39515084</v>
      </c>
      <c r="O86" s="15"/>
      <c r="P86" s="16"/>
      <c r="Q86" s="15"/>
      <c r="R86" s="15"/>
    </row>
    <row r="87" spans="2:18" x14ac:dyDescent="0.55000000000000004">
      <c r="B87">
        <f t="shared" si="10"/>
        <v>79</v>
      </c>
      <c r="C87" s="15">
        <f t="shared" si="11"/>
        <v>272270</v>
      </c>
      <c r="D87" s="16">
        <f t="shared" si="12"/>
        <v>149205</v>
      </c>
      <c r="E87" s="15">
        <f t="shared" si="13"/>
        <v>123065</v>
      </c>
      <c r="F87" s="15">
        <f t="shared" si="14"/>
        <v>41515577</v>
      </c>
      <c r="H87">
        <f t="shared" si="15"/>
        <v>79</v>
      </c>
      <c r="I87" s="15">
        <f t="shared" si="16"/>
        <v>216829</v>
      </c>
      <c r="J87" s="16">
        <f t="shared" si="19"/>
        <v>72444</v>
      </c>
      <c r="K87" s="15">
        <f t="shared" si="17"/>
        <v>144385</v>
      </c>
      <c r="L87" s="15">
        <f t="shared" si="18"/>
        <v>39370699</v>
      </c>
      <c r="O87" s="15"/>
      <c r="P87" s="16"/>
      <c r="Q87" s="15"/>
      <c r="R87" s="15"/>
    </row>
    <row r="88" spans="2:18" x14ac:dyDescent="0.55000000000000004">
      <c r="B88">
        <f t="shared" si="10"/>
        <v>80</v>
      </c>
      <c r="C88" s="15">
        <f t="shared" si="11"/>
        <v>272270</v>
      </c>
      <c r="D88" s="16">
        <f t="shared" si="12"/>
        <v>148764</v>
      </c>
      <c r="E88" s="15">
        <f t="shared" si="13"/>
        <v>123506</v>
      </c>
      <c r="F88" s="15">
        <f t="shared" si="14"/>
        <v>41392071</v>
      </c>
      <c r="H88">
        <f t="shared" si="15"/>
        <v>80</v>
      </c>
      <c r="I88" s="15">
        <f t="shared" si="16"/>
        <v>216829</v>
      </c>
      <c r="J88" s="16">
        <f t="shared" si="19"/>
        <v>72179</v>
      </c>
      <c r="K88" s="15">
        <f t="shared" si="17"/>
        <v>144650</v>
      </c>
      <c r="L88" s="15">
        <f t="shared" si="18"/>
        <v>39226049</v>
      </c>
      <c r="O88" s="15"/>
      <c r="P88" s="16"/>
      <c r="Q88" s="15"/>
      <c r="R88" s="15"/>
    </row>
    <row r="89" spans="2:18" x14ac:dyDescent="0.55000000000000004">
      <c r="B89">
        <f t="shared" si="10"/>
        <v>81</v>
      </c>
      <c r="C89" s="15">
        <f t="shared" si="11"/>
        <v>272270</v>
      </c>
      <c r="D89" s="16">
        <f t="shared" si="12"/>
        <v>148321</v>
      </c>
      <c r="E89" s="15">
        <f t="shared" si="13"/>
        <v>123949</v>
      </c>
      <c r="F89" s="15">
        <f t="shared" si="14"/>
        <v>41268122</v>
      </c>
      <c r="H89">
        <f t="shared" si="15"/>
        <v>81</v>
      </c>
      <c r="I89" s="15">
        <f t="shared" si="16"/>
        <v>216829</v>
      </c>
      <c r="J89" s="16">
        <f t="shared" si="19"/>
        <v>71914</v>
      </c>
      <c r="K89" s="15">
        <f t="shared" si="17"/>
        <v>144915</v>
      </c>
      <c r="L89" s="15">
        <f t="shared" si="18"/>
        <v>39081134</v>
      </c>
      <c r="O89" s="15"/>
      <c r="P89" s="16"/>
      <c r="Q89" s="15"/>
      <c r="R89" s="15"/>
    </row>
    <row r="90" spans="2:18" x14ac:dyDescent="0.55000000000000004">
      <c r="B90">
        <f t="shared" si="10"/>
        <v>82</v>
      </c>
      <c r="C90" s="15">
        <f t="shared" si="11"/>
        <v>272270</v>
      </c>
      <c r="D90" s="16">
        <f t="shared" si="12"/>
        <v>147877</v>
      </c>
      <c r="E90" s="15">
        <f t="shared" si="13"/>
        <v>124393</v>
      </c>
      <c r="F90" s="15">
        <f t="shared" si="14"/>
        <v>41143729</v>
      </c>
      <c r="H90">
        <f t="shared" si="15"/>
        <v>82</v>
      </c>
      <c r="I90" s="15">
        <f t="shared" si="16"/>
        <v>216829</v>
      </c>
      <c r="J90" s="16">
        <f t="shared" si="19"/>
        <v>71648</v>
      </c>
      <c r="K90" s="15">
        <f t="shared" si="17"/>
        <v>145181</v>
      </c>
      <c r="L90" s="15">
        <f t="shared" si="18"/>
        <v>38935953</v>
      </c>
      <c r="O90" s="15"/>
      <c r="P90" s="16"/>
      <c r="Q90" s="15"/>
      <c r="R90" s="15"/>
    </row>
    <row r="91" spans="2:18" x14ac:dyDescent="0.55000000000000004">
      <c r="B91">
        <f t="shared" si="10"/>
        <v>83</v>
      </c>
      <c r="C91" s="15">
        <f t="shared" si="11"/>
        <v>272270</v>
      </c>
      <c r="D91" s="16">
        <f t="shared" si="12"/>
        <v>147431</v>
      </c>
      <c r="E91" s="15">
        <f t="shared" si="13"/>
        <v>124839</v>
      </c>
      <c r="F91" s="15">
        <f t="shared" si="14"/>
        <v>41018890</v>
      </c>
      <c r="H91">
        <f t="shared" si="15"/>
        <v>83</v>
      </c>
      <c r="I91" s="15">
        <f t="shared" si="16"/>
        <v>216829</v>
      </c>
      <c r="J91" s="16">
        <f t="shared" si="19"/>
        <v>71382</v>
      </c>
      <c r="K91" s="15">
        <f t="shared" si="17"/>
        <v>145447</v>
      </c>
      <c r="L91" s="15">
        <f t="shared" si="18"/>
        <v>38790506</v>
      </c>
      <c r="O91" s="15"/>
      <c r="P91" s="16"/>
      <c r="Q91" s="15"/>
      <c r="R91" s="15"/>
    </row>
    <row r="92" spans="2:18" x14ac:dyDescent="0.55000000000000004">
      <c r="B92">
        <f t="shared" si="10"/>
        <v>84</v>
      </c>
      <c r="C92" s="15">
        <f t="shared" si="11"/>
        <v>272270</v>
      </c>
      <c r="D92" s="16">
        <f t="shared" si="12"/>
        <v>146984</v>
      </c>
      <c r="E92" s="15">
        <f t="shared" si="13"/>
        <v>125286</v>
      </c>
      <c r="F92" s="15">
        <f t="shared" si="14"/>
        <v>40893604</v>
      </c>
      <c r="H92">
        <f t="shared" si="15"/>
        <v>84</v>
      </c>
      <c r="I92" s="15">
        <f t="shared" si="16"/>
        <v>216829</v>
      </c>
      <c r="J92" s="16">
        <f t="shared" si="19"/>
        <v>71115</v>
      </c>
      <c r="K92" s="15">
        <f t="shared" si="17"/>
        <v>145714</v>
      </c>
      <c r="L92" s="15">
        <f t="shared" si="18"/>
        <v>38644792</v>
      </c>
      <c r="O92" s="15"/>
      <c r="P92" s="16"/>
      <c r="Q92" s="15"/>
      <c r="R92" s="15"/>
    </row>
    <row r="93" spans="2:18" x14ac:dyDescent="0.55000000000000004">
      <c r="B93">
        <f t="shared" si="10"/>
        <v>85</v>
      </c>
      <c r="C93" s="15">
        <f t="shared" si="11"/>
        <v>272270</v>
      </c>
      <c r="D93" s="16">
        <f t="shared" si="12"/>
        <v>146535</v>
      </c>
      <c r="E93" s="15">
        <f t="shared" si="13"/>
        <v>125735</v>
      </c>
      <c r="F93" s="15">
        <f t="shared" si="14"/>
        <v>40767869</v>
      </c>
      <c r="H93">
        <f t="shared" si="15"/>
        <v>85</v>
      </c>
      <c r="I93" s="15">
        <f t="shared" si="16"/>
        <v>216829</v>
      </c>
      <c r="J93" s="16">
        <f t="shared" si="19"/>
        <v>70848</v>
      </c>
      <c r="K93" s="15">
        <f t="shared" si="17"/>
        <v>145981</v>
      </c>
      <c r="L93" s="15">
        <f t="shared" si="18"/>
        <v>38498811</v>
      </c>
      <c r="O93" s="15"/>
      <c r="P93" s="16"/>
      <c r="Q93" s="15"/>
      <c r="R93" s="15"/>
    </row>
    <row r="94" spans="2:18" x14ac:dyDescent="0.55000000000000004">
      <c r="B94">
        <f t="shared" si="10"/>
        <v>86</v>
      </c>
      <c r="C94" s="15">
        <f t="shared" si="11"/>
        <v>272270</v>
      </c>
      <c r="D94" s="16">
        <f t="shared" si="12"/>
        <v>146084</v>
      </c>
      <c r="E94" s="15">
        <f t="shared" si="13"/>
        <v>126186</v>
      </c>
      <c r="F94" s="15">
        <f t="shared" si="14"/>
        <v>40641683</v>
      </c>
      <c r="H94">
        <f t="shared" si="15"/>
        <v>86</v>
      </c>
      <c r="I94" s="15">
        <f t="shared" si="16"/>
        <v>216829</v>
      </c>
      <c r="J94" s="16">
        <f t="shared" si="19"/>
        <v>70581</v>
      </c>
      <c r="K94" s="15">
        <f t="shared" si="17"/>
        <v>146248</v>
      </c>
      <c r="L94" s="15">
        <f t="shared" si="18"/>
        <v>38352563</v>
      </c>
      <c r="O94" s="15"/>
      <c r="P94" s="16"/>
      <c r="Q94" s="15"/>
      <c r="R94" s="15"/>
    </row>
    <row r="95" spans="2:18" x14ac:dyDescent="0.55000000000000004">
      <c r="B95">
        <f t="shared" si="10"/>
        <v>87</v>
      </c>
      <c r="C95" s="15">
        <f t="shared" si="11"/>
        <v>272270</v>
      </c>
      <c r="D95" s="16">
        <f t="shared" si="12"/>
        <v>145632</v>
      </c>
      <c r="E95" s="15">
        <f t="shared" si="13"/>
        <v>126638</v>
      </c>
      <c r="F95" s="15">
        <f t="shared" si="14"/>
        <v>40515045</v>
      </c>
      <c r="H95">
        <f t="shared" si="15"/>
        <v>87</v>
      </c>
      <c r="I95" s="15">
        <f t="shared" si="16"/>
        <v>216829</v>
      </c>
      <c r="J95" s="16">
        <f t="shared" si="19"/>
        <v>70313</v>
      </c>
      <c r="K95" s="15">
        <f t="shared" si="17"/>
        <v>146516</v>
      </c>
      <c r="L95" s="15">
        <f t="shared" si="18"/>
        <v>38206047</v>
      </c>
      <c r="O95" s="15"/>
      <c r="P95" s="16"/>
      <c r="Q95" s="15"/>
      <c r="R95" s="15"/>
    </row>
    <row r="96" spans="2:18" x14ac:dyDescent="0.55000000000000004">
      <c r="B96">
        <f t="shared" si="10"/>
        <v>88</v>
      </c>
      <c r="C96" s="15">
        <f t="shared" si="11"/>
        <v>272270</v>
      </c>
      <c r="D96" s="16">
        <f t="shared" si="12"/>
        <v>145178</v>
      </c>
      <c r="E96" s="15">
        <f t="shared" si="13"/>
        <v>127092</v>
      </c>
      <c r="F96" s="15">
        <f t="shared" si="14"/>
        <v>40387953</v>
      </c>
      <c r="H96">
        <f t="shared" si="15"/>
        <v>88</v>
      </c>
      <c r="I96" s="15">
        <f t="shared" si="16"/>
        <v>216829</v>
      </c>
      <c r="J96" s="16">
        <f t="shared" si="19"/>
        <v>70044</v>
      </c>
      <c r="K96" s="15">
        <f t="shared" si="17"/>
        <v>146785</v>
      </c>
      <c r="L96" s="15">
        <f t="shared" si="18"/>
        <v>38059262</v>
      </c>
      <c r="O96" s="15"/>
      <c r="P96" s="16"/>
      <c r="Q96" s="15"/>
      <c r="R96" s="15"/>
    </row>
    <row r="97" spans="2:18" x14ac:dyDescent="0.55000000000000004">
      <c r="B97">
        <f t="shared" si="10"/>
        <v>89</v>
      </c>
      <c r="C97" s="15">
        <f t="shared" si="11"/>
        <v>272270</v>
      </c>
      <c r="D97" s="16">
        <f t="shared" si="12"/>
        <v>144723</v>
      </c>
      <c r="E97" s="15">
        <f t="shared" si="13"/>
        <v>127547</v>
      </c>
      <c r="F97" s="15">
        <f t="shared" si="14"/>
        <v>40260406</v>
      </c>
      <c r="H97">
        <f t="shared" si="15"/>
        <v>89</v>
      </c>
      <c r="I97" s="15">
        <f t="shared" si="16"/>
        <v>216829</v>
      </c>
      <c r="J97" s="16">
        <f t="shared" si="19"/>
        <v>69775</v>
      </c>
      <c r="K97" s="15">
        <f t="shared" si="17"/>
        <v>147054</v>
      </c>
      <c r="L97" s="15">
        <f t="shared" si="18"/>
        <v>37912208</v>
      </c>
      <c r="O97" s="15"/>
      <c r="P97" s="16"/>
      <c r="Q97" s="15"/>
      <c r="R97" s="15"/>
    </row>
    <row r="98" spans="2:18" x14ac:dyDescent="0.55000000000000004">
      <c r="B98">
        <f t="shared" si="10"/>
        <v>90</v>
      </c>
      <c r="C98" s="15">
        <f t="shared" si="11"/>
        <v>272270</v>
      </c>
      <c r="D98" s="16">
        <f t="shared" si="12"/>
        <v>144266</v>
      </c>
      <c r="E98" s="15">
        <f t="shared" si="13"/>
        <v>128004</v>
      </c>
      <c r="F98" s="15">
        <f t="shared" si="14"/>
        <v>40132402</v>
      </c>
      <c r="H98">
        <f t="shared" si="15"/>
        <v>90</v>
      </c>
      <c r="I98" s="15">
        <f t="shared" si="16"/>
        <v>216829</v>
      </c>
      <c r="J98" s="16">
        <f t="shared" si="19"/>
        <v>69505</v>
      </c>
      <c r="K98" s="15">
        <f t="shared" si="17"/>
        <v>147324</v>
      </c>
      <c r="L98" s="15">
        <f t="shared" si="18"/>
        <v>37764884</v>
      </c>
      <c r="O98" s="15"/>
      <c r="P98" s="16"/>
      <c r="Q98" s="15"/>
      <c r="R98" s="15"/>
    </row>
    <row r="99" spans="2:18" x14ac:dyDescent="0.55000000000000004">
      <c r="B99">
        <f t="shared" si="10"/>
        <v>91</v>
      </c>
      <c r="C99" s="15">
        <f t="shared" si="11"/>
        <v>272270</v>
      </c>
      <c r="D99" s="16">
        <f t="shared" si="12"/>
        <v>143807</v>
      </c>
      <c r="E99" s="15">
        <f t="shared" si="13"/>
        <v>128463</v>
      </c>
      <c r="F99" s="15">
        <f t="shared" si="14"/>
        <v>40003939</v>
      </c>
      <c r="H99">
        <f t="shared" si="15"/>
        <v>91</v>
      </c>
      <c r="I99" s="15">
        <f t="shared" si="16"/>
        <v>216829</v>
      </c>
      <c r="J99" s="16">
        <f t="shared" si="19"/>
        <v>69235</v>
      </c>
      <c r="K99" s="15">
        <f t="shared" si="17"/>
        <v>147594</v>
      </c>
      <c r="L99" s="15">
        <f t="shared" si="18"/>
        <v>37617290</v>
      </c>
      <c r="O99" s="15"/>
      <c r="P99" s="16"/>
      <c r="Q99" s="15"/>
      <c r="R99" s="15"/>
    </row>
    <row r="100" spans="2:18" x14ac:dyDescent="0.55000000000000004">
      <c r="B100">
        <f t="shared" si="10"/>
        <v>92</v>
      </c>
      <c r="C100" s="15">
        <f t="shared" si="11"/>
        <v>272270</v>
      </c>
      <c r="D100" s="16">
        <f t="shared" si="12"/>
        <v>143347</v>
      </c>
      <c r="E100" s="15">
        <f t="shared" si="13"/>
        <v>128923</v>
      </c>
      <c r="F100" s="15">
        <f t="shared" si="14"/>
        <v>39875016</v>
      </c>
      <c r="H100">
        <f t="shared" si="15"/>
        <v>92</v>
      </c>
      <c r="I100" s="15">
        <f t="shared" si="16"/>
        <v>216829</v>
      </c>
      <c r="J100" s="16">
        <f t="shared" si="19"/>
        <v>68965</v>
      </c>
      <c r="K100" s="15">
        <f t="shared" si="17"/>
        <v>147864</v>
      </c>
      <c r="L100" s="15">
        <f t="shared" si="18"/>
        <v>37469426</v>
      </c>
      <c r="O100" s="15"/>
      <c r="P100" s="16"/>
      <c r="Q100" s="15"/>
      <c r="R100" s="15"/>
    </row>
    <row r="101" spans="2:18" x14ac:dyDescent="0.55000000000000004">
      <c r="B101">
        <f t="shared" si="10"/>
        <v>93</v>
      </c>
      <c r="C101" s="15">
        <f t="shared" si="11"/>
        <v>272270</v>
      </c>
      <c r="D101" s="16">
        <f t="shared" si="12"/>
        <v>142885</v>
      </c>
      <c r="E101" s="15">
        <f t="shared" si="13"/>
        <v>129385</v>
      </c>
      <c r="F101" s="15">
        <f t="shared" si="14"/>
        <v>39745631</v>
      </c>
      <c r="H101">
        <f t="shared" si="15"/>
        <v>93</v>
      </c>
      <c r="I101" s="15">
        <f t="shared" si="16"/>
        <v>216829</v>
      </c>
      <c r="J101" s="16">
        <f t="shared" si="19"/>
        <v>68693</v>
      </c>
      <c r="K101" s="15">
        <f t="shared" si="17"/>
        <v>148136</v>
      </c>
      <c r="L101" s="15">
        <f t="shared" si="18"/>
        <v>37321290</v>
      </c>
      <c r="O101" s="15"/>
      <c r="P101" s="16"/>
      <c r="Q101" s="15"/>
      <c r="R101" s="15"/>
    </row>
    <row r="102" spans="2:18" x14ac:dyDescent="0.55000000000000004">
      <c r="B102">
        <f t="shared" si="10"/>
        <v>94</v>
      </c>
      <c r="C102" s="15">
        <f t="shared" si="11"/>
        <v>272270</v>
      </c>
      <c r="D102" s="16">
        <f t="shared" si="12"/>
        <v>142421</v>
      </c>
      <c r="E102" s="15">
        <f t="shared" si="13"/>
        <v>129849</v>
      </c>
      <c r="F102" s="15">
        <f t="shared" si="14"/>
        <v>39615782</v>
      </c>
      <c r="H102">
        <f t="shared" si="15"/>
        <v>94</v>
      </c>
      <c r="I102" s="15">
        <f t="shared" si="16"/>
        <v>216829</v>
      </c>
      <c r="J102" s="16">
        <f t="shared" si="19"/>
        <v>68422</v>
      </c>
      <c r="K102" s="15">
        <f t="shared" si="17"/>
        <v>148407</v>
      </c>
      <c r="L102" s="15">
        <f t="shared" si="18"/>
        <v>37172883</v>
      </c>
      <c r="O102" s="15"/>
      <c r="P102" s="16"/>
      <c r="Q102" s="15"/>
      <c r="R102" s="15"/>
    </row>
    <row r="103" spans="2:18" x14ac:dyDescent="0.55000000000000004">
      <c r="B103">
        <f t="shared" si="10"/>
        <v>95</v>
      </c>
      <c r="C103" s="15">
        <f t="shared" si="11"/>
        <v>272270</v>
      </c>
      <c r="D103" s="16">
        <f t="shared" si="12"/>
        <v>141956</v>
      </c>
      <c r="E103" s="15">
        <f t="shared" si="13"/>
        <v>130314</v>
      </c>
      <c r="F103" s="15">
        <f t="shared" si="14"/>
        <v>39485468</v>
      </c>
      <c r="H103">
        <f t="shared" si="15"/>
        <v>95</v>
      </c>
      <c r="I103" s="15">
        <f t="shared" si="16"/>
        <v>216829</v>
      </c>
      <c r="J103" s="16">
        <f t="shared" si="19"/>
        <v>68150</v>
      </c>
      <c r="K103" s="15">
        <f t="shared" si="17"/>
        <v>148679</v>
      </c>
      <c r="L103" s="15">
        <f t="shared" si="18"/>
        <v>37024204</v>
      </c>
      <c r="O103" s="15"/>
      <c r="P103" s="16"/>
      <c r="Q103" s="15"/>
      <c r="R103" s="15"/>
    </row>
    <row r="104" spans="2:18" x14ac:dyDescent="0.55000000000000004">
      <c r="B104">
        <f t="shared" si="10"/>
        <v>96</v>
      </c>
      <c r="C104" s="15">
        <f t="shared" si="11"/>
        <v>272270</v>
      </c>
      <c r="D104" s="16">
        <f t="shared" si="12"/>
        <v>141489</v>
      </c>
      <c r="E104" s="15">
        <f t="shared" si="13"/>
        <v>130781</v>
      </c>
      <c r="F104" s="15">
        <f t="shared" si="14"/>
        <v>39354687</v>
      </c>
      <c r="H104">
        <f t="shared" si="15"/>
        <v>96</v>
      </c>
      <c r="I104" s="15">
        <f t="shared" si="16"/>
        <v>216829</v>
      </c>
      <c r="J104" s="16">
        <f t="shared" si="19"/>
        <v>67877</v>
      </c>
      <c r="K104" s="15">
        <f t="shared" si="17"/>
        <v>148952</v>
      </c>
      <c r="L104" s="15">
        <f t="shared" si="18"/>
        <v>36875252</v>
      </c>
      <c r="O104" s="15"/>
      <c r="P104" s="16"/>
      <c r="Q104" s="15"/>
      <c r="R104" s="15"/>
    </row>
    <row r="105" spans="2:18" x14ac:dyDescent="0.55000000000000004">
      <c r="B105">
        <f t="shared" si="10"/>
        <v>97</v>
      </c>
      <c r="C105" s="15">
        <f t="shared" si="11"/>
        <v>272270</v>
      </c>
      <c r="D105" s="16">
        <f t="shared" si="12"/>
        <v>141020</v>
      </c>
      <c r="E105" s="15">
        <f t="shared" si="13"/>
        <v>131250</v>
      </c>
      <c r="F105" s="15">
        <f t="shared" si="14"/>
        <v>39223437</v>
      </c>
      <c r="H105">
        <f t="shared" si="15"/>
        <v>97</v>
      </c>
      <c r="I105" s="15">
        <f t="shared" si="16"/>
        <v>216829</v>
      </c>
      <c r="J105" s="16">
        <f t="shared" si="19"/>
        <v>67604</v>
      </c>
      <c r="K105" s="15">
        <f t="shared" si="17"/>
        <v>149225</v>
      </c>
      <c r="L105" s="15">
        <f t="shared" si="18"/>
        <v>36726027</v>
      </c>
      <c r="O105" s="15"/>
      <c r="P105" s="16"/>
      <c r="Q105" s="15"/>
      <c r="R105" s="15"/>
    </row>
    <row r="106" spans="2:18" x14ac:dyDescent="0.55000000000000004">
      <c r="B106">
        <f t="shared" si="10"/>
        <v>98</v>
      </c>
      <c r="C106" s="15">
        <f t="shared" si="11"/>
        <v>272270</v>
      </c>
      <c r="D106" s="16">
        <f t="shared" si="12"/>
        <v>140550</v>
      </c>
      <c r="E106" s="15">
        <f t="shared" si="13"/>
        <v>131720</v>
      </c>
      <c r="F106" s="15">
        <f t="shared" si="14"/>
        <v>39091717</v>
      </c>
      <c r="H106">
        <f t="shared" si="15"/>
        <v>98</v>
      </c>
      <c r="I106" s="15">
        <f t="shared" si="16"/>
        <v>216829</v>
      </c>
      <c r="J106" s="16">
        <f t="shared" si="19"/>
        <v>67331</v>
      </c>
      <c r="K106" s="15">
        <f t="shared" si="17"/>
        <v>149498</v>
      </c>
      <c r="L106" s="15">
        <f t="shared" si="18"/>
        <v>36576529</v>
      </c>
      <c r="O106" s="15"/>
      <c r="P106" s="16"/>
      <c r="Q106" s="15"/>
      <c r="R106" s="15"/>
    </row>
    <row r="107" spans="2:18" x14ac:dyDescent="0.55000000000000004">
      <c r="B107">
        <f t="shared" si="10"/>
        <v>99</v>
      </c>
      <c r="C107" s="15">
        <f t="shared" si="11"/>
        <v>272270</v>
      </c>
      <c r="D107" s="16">
        <f t="shared" si="12"/>
        <v>140078</v>
      </c>
      <c r="E107" s="15">
        <f t="shared" si="13"/>
        <v>132192</v>
      </c>
      <c r="F107" s="15">
        <f t="shared" si="14"/>
        <v>38959525</v>
      </c>
      <c r="H107">
        <f t="shared" si="15"/>
        <v>99</v>
      </c>
      <c r="I107" s="15">
        <f t="shared" si="16"/>
        <v>216829</v>
      </c>
      <c r="J107" s="16">
        <f t="shared" si="19"/>
        <v>67056</v>
      </c>
      <c r="K107" s="15">
        <f t="shared" si="17"/>
        <v>149773</v>
      </c>
      <c r="L107" s="15">
        <f t="shared" si="18"/>
        <v>36426756</v>
      </c>
      <c r="O107" s="15"/>
      <c r="P107" s="16"/>
      <c r="Q107" s="15"/>
      <c r="R107" s="15"/>
    </row>
    <row r="108" spans="2:18" x14ac:dyDescent="0.55000000000000004">
      <c r="B108">
        <f t="shared" si="10"/>
        <v>100</v>
      </c>
      <c r="C108" s="15">
        <f t="shared" si="11"/>
        <v>272270</v>
      </c>
      <c r="D108" s="16">
        <f t="shared" si="12"/>
        <v>139604</v>
      </c>
      <c r="E108" s="15">
        <f t="shared" si="13"/>
        <v>132666</v>
      </c>
      <c r="F108" s="15">
        <f t="shared" si="14"/>
        <v>38826859</v>
      </c>
      <c r="H108">
        <f t="shared" si="15"/>
        <v>100</v>
      </c>
      <c r="I108" s="15">
        <f t="shared" si="16"/>
        <v>216829</v>
      </c>
      <c r="J108" s="16">
        <f t="shared" si="19"/>
        <v>66782</v>
      </c>
      <c r="K108" s="15">
        <f t="shared" si="17"/>
        <v>150047</v>
      </c>
      <c r="L108" s="15">
        <f t="shared" si="18"/>
        <v>36276709</v>
      </c>
      <c r="O108" s="15"/>
      <c r="P108" s="16"/>
      <c r="Q108" s="15"/>
      <c r="R108" s="15"/>
    </row>
    <row r="109" spans="2:18" x14ac:dyDescent="0.55000000000000004">
      <c r="B109">
        <f t="shared" si="10"/>
        <v>101</v>
      </c>
      <c r="C109" s="15">
        <f t="shared" si="11"/>
        <v>272270</v>
      </c>
      <c r="D109" s="16">
        <f t="shared" si="12"/>
        <v>139129</v>
      </c>
      <c r="E109" s="15">
        <f t="shared" si="13"/>
        <v>133141</v>
      </c>
      <c r="F109" s="15">
        <f t="shared" si="14"/>
        <v>38693718</v>
      </c>
      <c r="H109">
        <f t="shared" si="15"/>
        <v>101</v>
      </c>
      <c r="I109" s="15">
        <f t="shared" si="16"/>
        <v>216829</v>
      </c>
      <c r="J109" s="16">
        <f t="shared" si="19"/>
        <v>66507</v>
      </c>
      <c r="K109" s="15">
        <f t="shared" si="17"/>
        <v>150322</v>
      </c>
      <c r="L109" s="15">
        <f t="shared" si="18"/>
        <v>36126387</v>
      </c>
      <c r="O109" s="15"/>
      <c r="P109" s="16"/>
      <c r="Q109" s="15"/>
      <c r="R109" s="15"/>
    </row>
    <row r="110" spans="2:18" x14ac:dyDescent="0.55000000000000004">
      <c r="B110">
        <f t="shared" si="10"/>
        <v>102</v>
      </c>
      <c r="C110" s="15">
        <f t="shared" si="11"/>
        <v>272270</v>
      </c>
      <c r="D110" s="16">
        <f t="shared" si="12"/>
        <v>138652</v>
      </c>
      <c r="E110" s="15">
        <f t="shared" si="13"/>
        <v>133618</v>
      </c>
      <c r="F110" s="15">
        <f t="shared" si="14"/>
        <v>38560100</v>
      </c>
      <c r="H110">
        <f t="shared" si="15"/>
        <v>102</v>
      </c>
      <c r="I110" s="15">
        <f t="shared" si="16"/>
        <v>216829</v>
      </c>
      <c r="J110" s="16">
        <f t="shared" si="19"/>
        <v>66231</v>
      </c>
      <c r="K110" s="15">
        <f t="shared" si="17"/>
        <v>150598</v>
      </c>
      <c r="L110" s="15">
        <f t="shared" si="18"/>
        <v>35975789</v>
      </c>
      <c r="O110" s="15"/>
      <c r="P110" s="16"/>
      <c r="Q110" s="15"/>
      <c r="R110" s="15"/>
    </row>
    <row r="111" spans="2:18" x14ac:dyDescent="0.55000000000000004">
      <c r="B111">
        <f t="shared" si="10"/>
        <v>103</v>
      </c>
      <c r="C111" s="15">
        <f t="shared" si="11"/>
        <v>272270</v>
      </c>
      <c r="D111" s="16">
        <f t="shared" si="12"/>
        <v>138173</v>
      </c>
      <c r="E111" s="15">
        <f t="shared" si="13"/>
        <v>134097</v>
      </c>
      <c r="F111" s="15">
        <f t="shared" si="14"/>
        <v>38426003</v>
      </c>
      <c r="H111">
        <f t="shared" si="15"/>
        <v>103</v>
      </c>
      <c r="I111" s="15">
        <f t="shared" si="16"/>
        <v>216829</v>
      </c>
      <c r="J111" s="16">
        <f t="shared" si="19"/>
        <v>65955</v>
      </c>
      <c r="K111" s="15">
        <f t="shared" si="17"/>
        <v>150874</v>
      </c>
      <c r="L111" s="15">
        <f t="shared" si="18"/>
        <v>35824915</v>
      </c>
      <c r="O111" s="15"/>
      <c r="P111" s="16"/>
      <c r="Q111" s="15"/>
      <c r="R111" s="15"/>
    </row>
    <row r="112" spans="2:18" x14ac:dyDescent="0.55000000000000004">
      <c r="B112">
        <f t="shared" si="10"/>
        <v>104</v>
      </c>
      <c r="C112" s="15">
        <f t="shared" si="11"/>
        <v>272270</v>
      </c>
      <c r="D112" s="16">
        <f t="shared" si="12"/>
        <v>137693</v>
      </c>
      <c r="E112" s="15">
        <f t="shared" si="13"/>
        <v>134577</v>
      </c>
      <c r="F112" s="15">
        <f t="shared" si="14"/>
        <v>38291426</v>
      </c>
      <c r="H112">
        <f t="shared" si="15"/>
        <v>104</v>
      </c>
      <c r="I112" s="15">
        <f t="shared" si="16"/>
        <v>216829</v>
      </c>
      <c r="J112" s="16">
        <f t="shared" si="19"/>
        <v>65679</v>
      </c>
      <c r="K112" s="15">
        <f t="shared" si="17"/>
        <v>151150</v>
      </c>
      <c r="L112" s="15">
        <f t="shared" si="18"/>
        <v>35673765</v>
      </c>
      <c r="O112" s="15"/>
      <c r="P112" s="16"/>
      <c r="Q112" s="15"/>
      <c r="R112" s="15"/>
    </row>
    <row r="113" spans="2:18" x14ac:dyDescent="0.55000000000000004">
      <c r="B113">
        <f t="shared" si="10"/>
        <v>105</v>
      </c>
      <c r="C113" s="15">
        <f t="shared" si="11"/>
        <v>272270</v>
      </c>
      <c r="D113" s="16">
        <f t="shared" si="12"/>
        <v>137210</v>
      </c>
      <c r="E113" s="15">
        <f t="shared" si="13"/>
        <v>135060</v>
      </c>
      <c r="F113" s="15">
        <f t="shared" si="14"/>
        <v>38156366</v>
      </c>
      <c r="H113">
        <f t="shared" si="15"/>
        <v>105</v>
      </c>
      <c r="I113" s="15">
        <f t="shared" si="16"/>
        <v>216829</v>
      </c>
      <c r="J113" s="16">
        <f t="shared" si="19"/>
        <v>65401</v>
      </c>
      <c r="K113" s="15">
        <f t="shared" si="17"/>
        <v>151428</v>
      </c>
      <c r="L113" s="15">
        <f t="shared" si="18"/>
        <v>35522337</v>
      </c>
      <c r="O113" s="15"/>
      <c r="P113" s="16"/>
      <c r="Q113" s="15"/>
      <c r="R113" s="15"/>
    </row>
    <row r="114" spans="2:18" x14ac:dyDescent="0.55000000000000004">
      <c r="B114">
        <f t="shared" si="10"/>
        <v>106</v>
      </c>
      <c r="C114" s="15">
        <f t="shared" si="11"/>
        <v>272270</v>
      </c>
      <c r="D114" s="16">
        <f t="shared" si="12"/>
        <v>136726</v>
      </c>
      <c r="E114" s="15">
        <f t="shared" si="13"/>
        <v>135544</v>
      </c>
      <c r="F114" s="15">
        <f t="shared" si="14"/>
        <v>38020822</v>
      </c>
      <c r="H114">
        <f t="shared" si="15"/>
        <v>106</v>
      </c>
      <c r="I114" s="15">
        <f t="shared" si="16"/>
        <v>216829</v>
      </c>
      <c r="J114" s="16">
        <f t="shared" si="19"/>
        <v>65124</v>
      </c>
      <c r="K114" s="15">
        <f t="shared" si="17"/>
        <v>151705</v>
      </c>
      <c r="L114" s="15">
        <f t="shared" si="18"/>
        <v>35370632</v>
      </c>
      <c r="O114" s="15"/>
      <c r="P114" s="16"/>
      <c r="Q114" s="15"/>
      <c r="R114" s="15"/>
    </row>
    <row r="115" spans="2:18" x14ac:dyDescent="0.55000000000000004">
      <c r="B115">
        <f t="shared" si="10"/>
        <v>107</v>
      </c>
      <c r="C115" s="15">
        <f t="shared" si="11"/>
        <v>272270</v>
      </c>
      <c r="D115" s="16">
        <f t="shared" si="12"/>
        <v>136241</v>
      </c>
      <c r="E115" s="15">
        <f t="shared" si="13"/>
        <v>136029</v>
      </c>
      <c r="F115" s="15">
        <f t="shared" si="14"/>
        <v>37884793</v>
      </c>
      <c r="H115">
        <f t="shared" si="15"/>
        <v>107</v>
      </c>
      <c r="I115" s="15">
        <f t="shared" si="16"/>
        <v>216829</v>
      </c>
      <c r="J115" s="16">
        <f t="shared" si="19"/>
        <v>64846</v>
      </c>
      <c r="K115" s="15">
        <f t="shared" si="17"/>
        <v>151983</v>
      </c>
      <c r="L115" s="15">
        <f t="shared" si="18"/>
        <v>35218649</v>
      </c>
      <c r="O115" s="15"/>
      <c r="P115" s="16"/>
      <c r="Q115" s="15"/>
      <c r="R115" s="15"/>
    </row>
    <row r="116" spans="2:18" x14ac:dyDescent="0.55000000000000004">
      <c r="B116">
        <f t="shared" si="10"/>
        <v>108</v>
      </c>
      <c r="C116" s="15">
        <f t="shared" si="11"/>
        <v>272270</v>
      </c>
      <c r="D116" s="16">
        <f t="shared" si="12"/>
        <v>135753</v>
      </c>
      <c r="E116" s="15">
        <f t="shared" si="13"/>
        <v>136517</v>
      </c>
      <c r="F116" s="15">
        <f t="shared" si="14"/>
        <v>37748276</v>
      </c>
      <c r="H116">
        <f t="shared" si="15"/>
        <v>108</v>
      </c>
      <c r="I116" s="15">
        <f t="shared" si="16"/>
        <v>216829</v>
      </c>
      <c r="J116" s="16">
        <f t="shared" si="19"/>
        <v>64567</v>
      </c>
      <c r="K116" s="15">
        <f t="shared" si="17"/>
        <v>152262</v>
      </c>
      <c r="L116" s="15">
        <f t="shared" si="18"/>
        <v>35066387</v>
      </c>
      <c r="O116" s="15"/>
      <c r="P116" s="16"/>
      <c r="Q116" s="15"/>
      <c r="R116" s="15"/>
    </row>
    <row r="117" spans="2:18" x14ac:dyDescent="0.55000000000000004">
      <c r="B117">
        <f t="shared" si="10"/>
        <v>109</v>
      </c>
      <c r="C117" s="15">
        <f t="shared" si="11"/>
        <v>272270</v>
      </c>
      <c r="D117" s="16">
        <f t="shared" si="12"/>
        <v>135264</v>
      </c>
      <c r="E117" s="15">
        <f t="shared" si="13"/>
        <v>137006</v>
      </c>
      <c r="F117" s="15">
        <f t="shared" si="14"/>
        <v>37611270</v>
      </c>
      <c r="H117">
        <f t="shared" si="15"/>
        <v>109</v>
      </c>
      <c r="I117" s="15">
        <f t="shared" si="16"/>
        <v>216829</v>
      </c>
      <c r="J117" s="16">
        <f t="shared" si="19"/>
        <v>64288</v>
      </c>
      <c r="K117" s="15">
        <f t="shared" si="17"/>
        <v>152541</v>
      </c>
      <c r="L117" s="15">
        <f t="shared" si="18"/>
        <v>34913846</v>
      </c>
      <c r="O117" s="15"/>
      <c r="P117" s="16"/>
      <c r="Q117" s="15"/>
      <c r="R117" s="15"/>
    </row>
    <row r="118" spans="2:18" x14ac:dyDescent="0.55000000000000004">
      <c r="B118">
        <f t="shared" si="10"/>
        <v>110</v>
      </c>
      <c r="C118" s="15">
        <f t="shared" si="11"/>
        <v>272270</v>
      </c>
      <c r="D118" s="16">
        <f t="shared" si="12"/>
        <v>134773</v>
      </c>
      <c r="E118" s="15">
        <f t="shared" si="13"/>
        <v>137497</v>
      </c>
      <c r="F118" s="15">
        <f t="shared" si="14"/>
        <v>37473773</v>
      </c>
      <c r="H118">
        <f t="shared" si="15"/>
        <v>110</v>
      </c>
      <c r="I118" s="15">
        <f t="shared" si="16"/>
        <v>216829</v>
      </c>
      <c r="J118" s="16">
        <f t="shared" si="19"/>
        <v>64008</v>
      </c>
      <c r="K118" s="15">
        <f t="shared" si="17"/>
        <v>152821</v>
      </c>
      <c r="L118" s="15">
        <f t="shared" si="18"/>
        <v>34761025</v>
      </c>
      <c r="O118" s="15"/>
      <c r="P118" s="16"/>
      <c r="Q118" s="15"/>
      <c r="R118" s="15"/>
    </row>
    <row r="119" spans="2:18" x14ac:dyDescent="0.55000000000000004">
      <c r="B119">
        <f t="shared" si="10"/>
        <v>111</v>
      </c>
      <c r="C119" s="15">
        <f t="shared" si="11"/>
        <v>272270</v>
      </c>
      <c r="D119" s="16">
        <f t="shared" si="12"/>
        <v>134281</v>
      </c>
      <c r="E119" s="15">
        <f t="shared" si="13"/>
        <v>137989</v>
      </c>
      <c r="F119" s="15">
        <f t="shared" si="14"/>
        <v>37335784</v>
      </c>
      <c r="H119">
        <f t="shared" si="15"/>
        <v>111</v>
      </c>
      <c r="I119" s="15">
        <f t="shared" si="16"/>
        <v>216829</v>
      </c>
      <c r="J119" s="16">
        <f t="shared" si="19"/>
        <v>63728</v>
      </c>
      <c r="K119" s="15">
        <f t="shared" si="17"/>
        <v>153101</v>
      </c>
      <c r="L119" s="15">
        <f t="shared" si="18"/>
        <v>34607924</v>
      </c>
      <c r="O119" s="15"/>
      <c r="P119" s="16"/>
      <c r="Q119" s="15"/>
      <c r="R119" s="15"/>
    </row>
    <row r="120" spans="2:18" x14ac:dyDescent="0.55000000000000004">
      <c r="B120">
        <f t="shared" si="10"/>
        <v>112</v>
      </c>
      <c r="C120" s="15">
        <f t="shared" si="11"/>
        <v>272270</v>
      </c>
      <c r="D120" s="16">
        <f t="shared" si="12"/>
        <v>133786</v>
      </c>
      <c r="E120" s="15">
        <f t="shared" si="13"/>
        <v>138484</v>
      </c>
      <c r="F120" s="15">
        <f t="shared" si="14"/>
        <v>37197300</v>
      </c>
      <c r="H120">
        <f t="shared" si="15"/>
        <v>112</v>
      </c>
      <c r="I120" s="15">
        <f t="shared" si="16"/>
        <v>216829</v>
      </c>
      <c r="J120" s="16">
        <f t="shared" si="19"/>
        <v>63447</v>
      </c>
      <c r="K120" s="15">
        <f t="shared" si="17"/>
        <v>153382</v>
      </c>
      <c r="L120" s="15">
        <f t="shared" si="18"/>
        <v>34454542</v>
      </c>
      <c r="O120" s="15"/>
      <c r="P120" s="16"/>
      <c r="Q120" s="15"/>
      <c r="R120" s="15"/>
    </row>
    <row r="121" spans="2:18" x14ac:dyDescent="0.55000000000000004">
      <c r="B121">
        <f t="shared" si="10"/>
        <v>113</v>
      </c>
      <c r="C121" s="15">
        <f t="shared" si="11"/>
        <v>272270</v>
      </c>
      <c r="D121" s="16">
        <f t="shared" si="12"/>
        <v>133290</v>
      </c>
      <c r="E121" s="15">
        <f t="shared" si="13"/>
        <v>138980</v>
      </c>
      <c r="F121" s="15">
        <f t="shared" si="14"/>
        <v>37058320</v>
      </c>
      <c r="H121">
        <f t="shared" si="15"/>
        <v>113</v>
      </c>
      <c r="I121" s="15">
        <f t="shared" si="16"/>
        <v>216829</v>
      </c>
      <c r="J121" s="16">
        <f t="shared" si="19"/>
        <v>63166</v>
      </c>
      <c r="K121" s="15">
        <f t="shared" si="17"/>
        <v>153663</v>
      </c>
      <c r="L121" s="15">
        <f t="shared" si="18"/>
        <v>34300879</v>
      </c>
      <c r="O121" s="15"/>
      <c r="P121" s="16"/>
      <c r="Q121" s="15"/>
      <c r="R121" s="15"/>
    </row>
    <row r="122" spans="2:18" x14ac:dyDescent="0.55000000000000004">
      <c r="B122">
        <f t="shared" si="10"/>
        <v>114</v>
      </c>
      <c r="C122" s="15">
        <f t="shared" si="11"/>
        <v>272270</v>
      </c>
      <c r="D122" s="16">
        <f t="shared" si="12"/>
        <v>132792</v>
      </c>
      <c r="E122" s="15">
        <f t="shared" si="13"/>
        <v>139478</v>
      </c>
      <c r="F122" s="15">
        <f t="shared" si="14"/>
        <v>36918842</v>
      </c>
      <c r="H122">
        <f t="shared" si="15"/>
        <v>114</v>
      </c>
      <c r="I122" s="15">
        <f t="shared" si="16"/>
        <v>216829</v>
      </c>
      <c r="J122" s="16">
        <f t="shared" si="19"/>
        <v>62884</v>
      </c>
      <c r="K122" s="15">
        <f t="shared" si="17"/>
        <v>153945</v>
      </c>
      <c r="L122" s="15">
        <f t="shared" si="18"/>
        <v>34146934</v>
      </c>
      <c r="O122" s="15"/>
      <c r="P122" s="16"/>
      <c r="Q122" s="15"/>
      <c r="R122" s="15"/>
    </row>
    <row r="123" spans="2:18" x14ac:dyDescent="0.55000000000000004">
      <c r="B123">
        <f t="shared" si="10"/>
        <v>115</v>
      </c>
      <c r="C123" s="15">
        <f t="shared" si="11"/>
        <v>272270</v>
      </c>
      <c r="D123" s="16">
        <f t="shared" si="12"/>
        <v>132292</v>
      </c>
      <c r="E123" s="15">
        <f t="shared" si="13"/>
        <v>139978</v>
      </c>
      <c r="F123" s="15">
        <f t="shared" si="14"/>
        <v>36778864</v>
      </c>
      <c r="H123">
        <f t="shared" si="15"/>
        <v>115</v>
      </c>
      <c r="I123" s="15">
        <f t="shared" si="16"/>
        <v>216829</v>
      </c>
      <c r="J123" s="16">
        <f t="shared" si="19"/>
        <v>62602</v>
      </c>
      <c r="K123" s="15">
        <f t="shared" si="17"/>
        <v>154227</v>
      </c>
      <c r="L123" s="15">
        <f t="shared" si="18"/>
        <v>33992707</v>
      </c>
      <c r="O123" s="15"/>
      <c r="P123" s="16"/>
      <c r="Q123" s="15"/>
      <c r="R123" s="15"/>
    </row>
    <row r="124" spans="2:18" x14ac:dyDescent="0.55000000000000004">
      <c r="B124">
        <f t="shared" si="10"/>
        <v>116</v>
      </c>
      <c r="C124" s="15">
        <f t="shared" si="11"/>
        <v>272270</v>
      </c>
      <c r="D124" s="16">
        <f t="shared" si="12"/>
        <v>131790</v>
      </c>
      <c r="E124" s="15">
        <f t="shared" si="13"/>
        <v>140480</v>
      </c>
      <c r="F124" s="15">
        <f t="shared" si="14"/>
        <v>36638384</v>
      </c>
      <c r="H124">
        <f t="shared" si="15"/>
        <v>116</v>
      </c>
      <c r="I124" s="15">
        <f t="shared" si="16"/>
        <v>216829</v>
      </c>
      <c r="J124" s="16">
        <f t="shared" si="19"/>
        <v>62319</v>
      </c>
      <c r="K124" s="15">
        <f t="shared" si="17"/>
        <v>154510</v>
      </c>
      <c r="L124" s="15">
        <f t="shared" si="18"/>
        <v>33838197</v>
      </c>
      <c r="O124" s="15"/>
      <c r="P124" s="16"/>
      <c r="Q124" s="15"/>
      <c r="R124" s="15"/>
    </row>
    <row r="125" spans="2:18" x14ac:dyDescent="0.55000000000000004">
      <c r="B125">
        <f t="shared" si="10"/>
        <v>117</v>
      </c>
      <c r="C125" s="15">
        <f t="shared" si="11"/>
        <v>272270</v>
      </c>
      <c r="D125" s="16">
        <f t="shared" si="12"/>
        <v>131287</v>
      </c>
      <c r="E125" s="15">
        <f t="shared" si="13"/>
        <v>140983</v>
      </c>
      <c r="F125" s="15">
        <f t="shared" si="14"/>
        <v>36497401</v>
      </c>
      <c r="H125">
        <f t="shared" si="15"/>
        <v>117</v>
      </c>
      <c r="I125" s="15">
        <f t="shared" si="16"/>
        <v>216829</v>
      </c>
      <c r="J125" s="16">
        <f t="shared" si="19"/>
        <v>62036</v>
      </c>
      <c r="K125" s="15">
        <f t="shared" si="17"/>
        <v>154793</v>
      </c>
      <c r="L125" s="15">
        <f t="shared" si="18"/>
        <v>33683404</v>
      </c>
      <c r="O125" s="15"/>
      <c r="P125" s="16"/>
      <c r="Q125" s="15"/>
      <c r="R125" s="15"/>
    </row>
    <row r="126" spans="2:18" x14ac:dyDescent="0.55000000000000004">
      <c r="B126">
        <f t="shared" si="10"/>
        <v>118</v>
      </c>
      <c r="C126" s="15">
        <f t="shared" si="11"/>
        <v>272270</v>
      </c>
      <c r="D126" s="16">
        <f t="shared" si="12"/>
        <v>130782</v>
      </c>
      <c r="E126" s="15">
        <f t="shared" si="13"/>
        <v>141488</v>
      </c>
      <c r="F126" s="15">
        <f t="shared" si="14"/>
        <v>36355913</v>
      </c>
      <c r="H126">
        <f t="shared" si="15"/>
        <v>118</v>
      </c>
      <c r="I126" s="15">
        <f t="shared" si="16"/>
        <v>216829</v>
      </c>
      <c r="J126" s="16">
        <f t="shared" si="19"/>
        <v>61752</v>
      </c>
      <c r="K126" s="15">
        <f t="shared" si="17"/>
        <v>155077</v>
      </c>
      <c r="L126" s="15">
        <f t="shared" si="18"/>
        <v>33528327</v>
      </c>
      <c r="O126" s="15"/>
      <c r="P126" s="16"/>
      <c r="Q126" s="15"/>
      <c r="R126" s="15"/>
    </row>
    <row r="127" spans="2:18" x14ac:dyDescent="0.55000000000000004">
      <c r="B127">
        <f t="shared" si="10"/>
        <v>119</v>
      </c>
      <c r="C127" s="15">
        <f t="shared" si="11"/>
        <v>272270</v>
      </c>
      <c r="D127" s="16">
        <f t="shared" si="12"/>
        <v>130275</v>
      </c>
      <c r="E127" s="15">
        <f t="shared" si="13"/>
        <v>141995</v>
      </c>
      <c r="F127" s="15">
        <f t="shared" si="14"/>
        <v>36213918</v>
      </c>
      <c r="H127">
        <f t="shared" si="15"/>
        <v>119</v>
      </c>
      <c r="I127" s="15">
        <f t="shared" si="16"/>
        <v>216829</v>
      </c>
      <c r="J127" s="16">
        <f t="shared" si="19"/>
        <v>61468</v>
      </c>
      <c r="K127" s="15">
        <f t="shared" si="17"/>
        <v>155361</v>
      </c>
      <c r="L127" s="15">
        <f t="shared" si="18"/>
        <v>33372966</v>
      </c>
      <c r="O127" s="15"/>
      <c r="P127" s="16"/>
      <c r="Q127" s="15"/>
      <c r="R127" s="15"/>
    </row>
    <row r="128" spans="2:18" x14ac:dyDescent="0.55000000000000004">
      <c r="B128">
        <f t="shared" si="10"/>
        <v>120</v>
      </c>
      <c r="C128" s="15">
        <f t="shared" si="11"/>
        <v>272270</v>
      </c>
      <c r="D128" s="16">
        <f t="shared" si="12"/>
        <v>129766</v>
      </c>
      <c r="E128" s="15">
        <f t="shared" si="13"/>
        <v>142504</v>
      </c>
      <c r="F128" s="15">
        <f t="shared" si="14"/>
        <v>36071414</v>
      </c>
      <c r="H128">
        <f t="shared" si="15"/>
        <v>120</v>
      </c>
      <c r="I128" s="15">
        <f t="shared" si="16"/>
        <v>216829</v>
      </c>
      <c r="J128" s="16">
        <f t="shared" si="19"/>
        <v>61183</v>
      </c>
      <c r="K128" s="15">
        <f t="shared" si="17"/>
        <v>155646</v>
      </c>
      <c r="L128" s="15">
        <f t="shared" si="18"/>
        <v>33217320</v>
      </c>
      <c r="O128" s="15"/>
      <c r="P128" s="16"/>
      <c r="Q128" s="15"/>
      <c r="R128" s="15"/>
    </row>
    <row r="129" spans="2:18" x14ac:dyDescent="0.55000000000000004">
      <c r="B129">
        <f t="shared" si="10"/>
        <v>121</v>
      </c>
      <c r="C129" s="15">
        <f t="shared" si="11"/>
        <v>272270</v>
      </c>
      <c r="D129" s="16">
        <f t="shared" si="12"/>
        <v>129255</v>
      </c>
      <c r="E129" s="15">
        <f t="shared" si="13"/>
        <v>143015</v>
      </c>
      <c r="F129" s="15">
        <f t="shared" si="14"/>
        <v>35928399</v>
      </c>
      <c r="H129">
        <f t="shared" si="15"/>
        <v>121</v>
      </c>
      <c r="I129" s="15">
        <f t="shared" si="16"/>
        <v>216829</v>
      </c>
      <c r="J129" s="16">
        <f t="shared" si="19"/>
        <v>60898</v>
      </c>
      <c r="K129" s="15">
        <f t="shared" si="17"/>
        <v>155931</v>
      </c>
      <c r="L129" s="15">
        <f t="shared" si="18"/>
        <v>33061389</v>
      </c>
      <c r="O129" s="15"/>
      <c r="P129" s="16"/>
      <c r="Q129" s="15"/>
      <c r="R129" s="15"/>
    </row>
    <row r="130" spans="2:18" x14ac:dyDescent="0.55000000000000004">
      <c r="B130">
        <f t="shared" si="10"/>
        <v>122</v>
      </c>
      <c r="C130" s="15">
        <f t="shared" si="11"/>
        <v>272270</v>
      </c>
      <c r="D130" s="16">
        <f t="shared" si="12"/>
        <v>128743</v>
      </c>
      <c r="E130" s="15">
        <f t="shared" si="13"/>
        <v>143527</v>
      </c>
      <c r="F130" s="15">
        <f t="shared" si="14"/>
        <v>35784872</v>
      </c>
      <c r="H130">
        <f t="shared" si="15"/>
        <v>122</v>
      </c>
      <c r="I130" s="15">
        <f t="shared" si="16"/>
        <v>216829</v>
      </c>
      <c r="J130" s="16">
        <f t="shared" si="19"/>
        <v>60612</v>
      </c>
      <c r="K130" s="15">
        <f t="shared" si="17"/>
        <v>156217</v>
      </c>
      <c r="L130" s="15">
        <f t="shared" si="18"/>
        <v>32905172</v>
      </c>
      <c r="O130" s="15"/>
      <c r="P130" s="16"/>
      <c r="Q130" s="15"/>
      <c r="R130" s="15"/>
    </row>
    <row r="131" spans="2:18" x14ac:dyDescent="0.55000000000000004">
      <c r="B131">
        <f t="shared" si="10"/>
        <v>123</v>
      </c>
      <c r="C131" s="15">
        <f t="shared" si="11"/>
        <v>272270</v>
      </c>
      <c r="D131" s="16">
        <f t="shared" si="12"/>
        <v>128229</v>
      </c>
      <c r="E131" s="15">
        <f t="shared" si="13"/>
        <v>144041</v>
      </c>
      <c r="F131" s="15">
        <f t="shared" si="14"/>
        <v>35640831</v>
      </c>
      <c r="H131">
        <f t="shared" si="15"/>
        <v>123</v>
      </c>
      <c r="I131" s="15">
        <f t="shared" si="16"/>
        <v>216829</v>
      </c>
      <c r="J131" s="16">
        <f t="shared" si="19"/>
        <v>60326</v>
      </c>
      <c r="K131" s="15">
        <f t="shared" si="17"/>
        <v>156503</v>
      </c>
      <c r="L131" s="15">
        <f t="shared" si="18"/>
        <v>32748669</v>
      </c>
      <c r="O131" s="15"/>
      <c r="P131" s="16"/>
      <c r="Q131" s="15"/>
      <c r="R131" s="15"/>
    </row>
    <row r="132" spans="2:18" x14ac:dyDescent="0.55000000000000004">
      <c r="B132">
        <f t="shared" si="10"/>
        <v>124</v>
      </c>
      <c r="C132" s="15">
        <f t="shared" si="11"/>
        <v>272270</v>
      </c>
      <c r="D132" s="16">
        <f t="shared" si="12"/>
        <v>127712</v>
      </c>
      <c r="E132" s="15">
        <f t="shared" si="13"/>
        <v>144558</v>
      </c>
      <c r="F132" s="15">
        <f t="shared" si="14"/>
        <v>35496273</v>
      </c>
      <c r="H132">
        <f t="shared" si="15"/>
        <v>124</v>
      </c>
      <c r="I132" s="15">
        <f t="shared" si="16"/>
        <v>216829</v>
      </c>
      <c r="J132" s="16">
        <f t="shared" si="19"/>
        <v>60039</v>
      </c>
      <c r="K132" s="15">
        <f t="shared" si="17"/>
        <v>156790</v>
      </c>
      <c r="L132" s="15">
        <f t="shared" si="18"/>
        <v>32591879</v>
      </c>
      <c r="O132" s="15"/>
      <c r="P132" s="16"/>
      <c r="Q132" s="15"/>
      <c r="R132" s="15"/>
    </row>
    <row r="133" spans="2:18" x14ac:dyDescent="0.55000000000000004">
      <c r="B133">
        <f t="shared" si="10"/>
        <v>125</v>
      </c>
      <c r="C133" s="15">
        <f t="shared" si="11"/>
        <v>272270</v>
      </c>
      <c r="D133" s="16">
        <f t="shared" si="12"/>
        <v>127194</v>
      </c>
      <c r="E133" s="15">
        <f t="shared" si="13"/>
        <v>145076</v>
      </c>
      <c r="F133" s="15">
        <f t="shared" si="14"/>
        <v>35351197</v>
      </c>
      <c r="H133">
        <f t="shared" si="15"/>
        <v>125</v>
      </c>
      <c r="I133" s="15">
        <f t="shared" si="16"/>
        <v>216829</v>
      </c>
      <c r="J133" s="16">
        <f t="shared" si="19"/>
        <v>59751</v>
      </c>
      <c r="K133" s="15">
        <f t="shared" si="17"/>
        <v>157078</v>
      </c>
      <c r="L133" s="15">
        <f t="shared" si="18"/>
        <v>32434801</v>
      </c>
      <c r="O133" s="15"/>
      <c r="P133" s="16"/>
      <c r="Q133" s="15"/>
      <c r="R133" s="15"/>
    </row>
    <row r="134" spans="2:18" x14ac:dyDescent="0.55000000000000004">
      <c r="B134">
        <f t="shared" si="10"/>
        <v>126</v>
      </c>
      <c r="C134" s="15">
        <f t="shared" si="11"/>
        <v>272270</v>
      </c>
      <c r="D134" s="16">
        <f t="shared" si="12"/>
        <v>126675</v>
      </c>
      <c r="E134" s="15">
        <f t="shared" si="13"/>
        <v>145595</v>
      </c>
      <c r="F134" s="15">
        <f t="shared" si="14"/>
        <v>35205602</v>
      </c>
      <c r="H134">
        <f t="shared" si="15"/>
        <v>126</v>
      </c>
      <c r="I134" s="15">
        <f t="shared" si="16"/>
        <v>216829</v>
      </c>
      <c r="J134" s="16">
        <f t="shared" si="19"/>
        <v>59463</v>
      </c>
      <c r="K134" s="15">
        <f t="shared" si="17"/>
        <v>157366</v>
      </c>
      <c r="L134" s="15">
        <f t="shared" si="18"/>
        <v>32277435</v>
      </c>
      <c r="O134" s="15"/>
      <c r="P134" s="16"/>
      <c r="Q134" s="15"/>
      <c r="R134" s="15"/>
    </row>
    <row r="135" spans="2:18" x14ac:dyDescent="0.55000000000000004">
      <c r="B135">
        <f t="shared" si="10"/>
        <v>127</v>
      </c>
      <c r="C135" s="15">
        <f t="shared" si="11"/>
        <v>272270</v>
      </c>
      <c r="D135" s="16">
        <f t="shared" si="12"/>
        <v>126153</v>
      </c>
      <c r="E135" s="15">
        <f t="shared" si="13"/>
        <v>146117</v>
      </c>
      <c r="F135" s="15">
        <f t="shared" si="14"/>
        <v>35059485</v>
      </c>
      <c r="H135">
        <f t="shared" si="15"/>
        <v>127</v>
      </c>
      <c r="I135" s="15">
        <f t="shared" si="16"/>
        <v>216829</v>
      </c>
      <c r="J135" s="16">
        <f t="shared" si="19"/>
        <v>59175</v>
      </c>
      <c r="K135" s="15">
        <f t="shared" si="17"/>
        <v>157654</v>
      </c>
      <c r="L135" s="15">
        <f t="shared" si="18"/>
        <v>32119781</v>
      </c>
      <c r="O135" s="15"/>
      <c r="P135" s="16"/>
      <c r="Q135" s="15"/>
      <c r="R135" s="15"/>
    </row>
    <row r="136" spans="2:18" x14ac:dyDescent="0.55000000000000004">
      <c r="B136">
        <f t="shared" si="10"/>
        <v>128</v>
      </c>
      <c r="C136" s="15">
        <f t="shared" si="11"/>
        <v>272270</v>
      </c>
      <c r="D136" s="16">
        <f t="shared" si="12"/>
        <v>125629</v>
      </c>
      <c r="E136" s="15">
        <f t="shared" si="13"/>
        <v>146641</v>
      </c>
      <c r="F136" s="15">
        <f t="shared" si="14"/>
        <v>34912844</v>
      </c>
      <c r="H136">
        <f t="shared" si="15"/>
        <v>128</v>
      </c>
      <c r="I136" s="15">
        <f t="shared" si="16"/>
        <v>216829</v>
      </c>
      <c r="J136" s="16">
        <f t="shared" si="19"/>
        <v>58886</v>
      </c>
      <c r="K136" s="15">
        <f t="shared" si="17"/>
        <v>157943</v>
      </c>
      <c r="L136" s="15">
        <f t="shared" si="18"/>
        <v>31961838</v>
      </c>
      <c r="O136" s="15"/>
      <c r="P136" s="16"/>
      <c r="Q136" s="15"/>
      <c r="R136" s="15"/>
    </row>
    <row r="137" spans="2:18" x14ac:dyDescent="0.55000000000000004">
      <c r="B137">
        <f t="shared" si="10"/>
        <v>129</v>
      </c>
      <c r="C137" s="15">
        <f t="shared" si="11"/>
        <v>272270</v>
      </c>
      <c r="D137" s="16">
        <f t="shared" si="12"/>
        <v>125104</v>
      </c>
      <c r="E137" s="15">
        <f t="shared" si="13"/>
        <v>147166</v>
      </c>
      <c r="F137" s="15">
        <f t="shared" si="14"/>
        <v>34765678</v>
      </c>
      <c r="H137">
        <f t="shared" si="15"/>
        <v>129</v>
      </c>
      <c r="I137" s="15">
        <f t="shared" si="16"/>
        <v>216829</v>
      </c>
      <c r="J137" s="16">
        <f t="shared" si="19"/>
        <v>58596</v>
      </c>
      <c r="K137" s="15">
        <f t="shared" si="17"/>
        <v>158233</v>
      </c>
      <c r="L137" s="15">
        <f t="shared" si="18"/>
        <v>31803605</v>
      </c>
      <c r="O137" s="15"/>
      <c r="P137" s="16"/>
      <c r="Q137" s="15"/>
      <c r="R137" s="15"/>
    </row>
    <row r="138" spans="2:18" x14ac:dyDescent="0.55000000000000004">
      <c r="B138">
        <f t="shared" si="10"/>
        <v>130</v>
      </c>
      <c r="C138" s="15">
        <f t="shared" si="11"/>
        <v>272270</v>
      </c>
      <c r="D138" s="16">
        <f t="shared" si="12"/>
        <v>124577</v>
      </c>
      <c r="E138" s="15">
        <f t="shared" si="13"/>
        <v>147693</v>
      </c>
      <c r="F138" s="15">
        <f t="shared" si="14"/>
        <v>34617985</v>
      </c>
      <c r="H138">
        <f t="shared" si="15"/>
        <v>130</v>
      </c>
      <c r="I138" s="15">
        <f t="shared" si="16"/>
        <v>216829</v>
      </c>
      <c r="J138" s="16">
        <f t="shared" si="19"/>
        <v>58306</v>
      </c>
      <c r="K138" s="15">
        <f t="shared" si="17"/>
        <v>158523</v>
      </c>
      <c r="L138" s="15">
        <f t="shared" si="18"/>
        <v>31645082</v>
      </c>
      <c r="O138" s="15"/>
      <c r="P138" s="16"/>
      <c r="Q138" s="15"/>
      <c r="R138" s="15"/>
    </row>
    <row r="139" spans="2:18" x14ac:dyDescent="0.55000000000000004">
      <c r="B139">
        <f t="shared" ref="B139:B202" si="20">B138+1</f>
        <v>131</v>
      </c>
      <c r="C139" s="15">
        <f t="shared" ref="C139:C202" si="21">C138</f>
        <v>272270</v>
      </c>
      <c r="D139" s="16">
        <f t="shared" ref="D139:D202" si="22">INT(F138*$D$3/12)</f>
        <v>124047</v>
      </c>
      <c r="E139" s="15">
        <f t="shared" ref="E139:E202" si="23">C139-D139</f>
        <v>148223</v>
      </c>
      <c r="F139" s="15">
        <f t="shared" ref="F139:F202" si="24">F138-E139</f>
        <v>34469762</v>
      </c>
      <c r="H139">
        <f t="shared" ref="H139:H202" si="25">H138+1</f>
        <v>131</v>
      </c>
      <c r="I139" s="15">
        <f t="shared" ref="I139:I202" si="26">I138</f>
        <v>216829</v>
      </c>
      <c r="J139" s="16">
        <f t="shared" si="19"/>
        <v>58015</v>
      </c>
      <c r="K139" s="15">
        <f t="shared" ref="K139:K202" si="27">I139-J139</f>
        <v>158814</v>
      </c>
      <c r="L139" s="15">
        <f t="shared" ref="L139:L202" si="28">L138-K139</f>
        <v>31486268</v>
      </c>
      <c r="O139" s="15"/>
      <c r="P139" s="16"/>
      <c r="Q139" s="15"/>
      <c r="R139" s="15"/>
    </row>
    <row r="140" spans="2:18" x14ac:dyDescent="0.55000000000000004">
      <c r="B140">
        <f t="shared" si="20"/>
        <v>132</v>
      </c>
      <c r="C140" s="15">
        <f t="shared" si="21"/>
        <v>272270</v>
      </c>
      <c r="D140" s="16">
        <f t="shared" si="22"/>
        <v>123516</v>
      </c>
      <c r="E140" s="15">
        <f t="shared" si="23"/>
        <v>148754</v>
      </c>
      <c r="F140" s="15">
        <f t="shared" si="24"/>
        <v>34321008</v>
      </c>
      <c r="H140">
        <f t="shared" si="25"/>
        <v>132</v>
      </c>
      <c r="I140" s="15">
        <f t="shared" si="26"/>
        <v>216829</v>
      </c>
      <c r="J140" s="16">
        <f t="shared" ref="J140:J203" si="29">INT(L139*$J$3/12)</f>
        <v>57724</v>
      </c>
      <c r="K140" s="15">
        <f t="shared" si="27"/>
        <v>159105</v>
      </c>
      <c r="L140" s="15">
        <f t="shared" si="28"/>
        <v>31327163</v>
      </c>
      <c r="O140" s="15"/>
      <c r="P140" s="16"/>
      <c r="Q140" s="15"/>
      <c r="R140" s="15"/>
    </row>
    <row r="141" spans="2:18" x14ac:dyDescent="0.55000000000000004">
      <c r="B141">
        <f t="shared" si="20"/>
        <v>133</v>
      </c>
      <c r="C141" s="15">
        <f t="shared" si="21"/>
        <v>272270</v>
      </c>
      <c r="D141" s="16">
        <f t="shared" si="22"/>
        <v>122983</v>
      </c>
      <c r="E141" s="15">
        <f t="shared" si="23"/>
        <v>149287</v>
      </c>
      <c r="F141" s="15">
        <f t="shared" si="24"/>
        <v>34171721</v>
      </c>
      <c r="H141">
        <f t="shared" si="25"/>
        <v>133</v>
      </c>
      <c r="I141" s="15">
        <f t="shared" si="26"/>
        <v>216829</v>
      </c>
      <c r="J141" s="16">
        <f t="shared" si="29"/>
        <v>57433</v>
      </c>
      <c r="K141" s="15">
        <f t="shared" si="27"/>
        <v>159396</v>
      </c>
      <c r="L141" s="15">
        <f t="shared" si="28"/>
        <v>31167767</v>
      </c>
      <c r="O141" s="15"/>
      <c r="P141" s="16"/>
      <c r="Q141" s="15"/>
      <c r="R141" s="15"/>
    </row>
    <row r="142" spans="2:18" x14ac:dyDescent="0.55000000000000004">
      <c r="B142">
        <f t="shared" si="20"/>
        <v>134</v>
      </c>
      <c r="C142" s="15">
        <f t="shared" si="21"/>
        <v>272270</v>
      </c>
      <c r="D142" s="16">
        <f t="shared" si="22"/>
        <v>122448</v>
      </c>
      <c r="E142" s="15">
        <f t="shared" si="23"/>
        <v>149822</v>
      </c>
      <c r="F142" s="15">
        <f t="shared" si="24"/>
        <v>34021899</v>
      </c>
      <c r="H142">
        <f t="shared" si="25"/>
        <v>134</v>
      </c>
      <c r="I142" s="15">
        <f t="shared" si="26"/>
        <v>216829</v>
      </c>
      <c r="J142" s="16">
        <f t="shared" si="29"/>
        <v>57140</v>
      </c>
      <c r="K142" s="15">
        <f t="shared" si="27"/>
        <v>159689</v>
      </c>
      <c r="L142" s="15">
        <f t="shared" si="28"/>
        <v>31008078</v>
      </c>
      <c r="O142" s="15"/>
      <c r="P142" s="16"/>
      <c r="Q142" s="15"/>
      <c r="R142" s="15"/>
    </row>
    <row r="143" spans="2:18" x14ac:dyDescent="0.55000000000000004">
      <c r="B143">
        <f t="shared" si="20"/>
        <v>135</v>
      </c>
      <c r="C143" s="15">
        <f t="shared" si="21"/>
        <v>272270</v>
      </c>
      <c r="D143" s="16">
        <f t="shared" si="22"/>
        <v>121911</v>
      </c>
      <c r="E143" s="15">
        <f t="shared" si="23"/>
        <v>150359</v>
      </c>
      <c r="F143" s="15">
        <f t="shared" si="24"/>
        <v>33871540</v>
      </c>
      <c r="H143">
        <f t="shared" si="25"/>
        <v>135</v>
      </c>
      <c r="I143" s="15">
        <f t="shared" si="26"/>
        <v>216829</v>
      </c>
      <c r="J143" s="16">
        <f t="shared" si="29"/>
        <v>56848</v>
      </c>
      <c r="K143" s="15">
        <f t="shared" si="27"/>
        <v>159981</v>
      </c>
      <c r="L143" s="15">
        <f t="shared" si="28"/>
        <v>30848097</v>
      </c>
      <c r="O143" s="15"/>
      <c r="P143" s="16"/>
      <c r="Q143" s="15"/>
      <c r="R143" s="15"/>
    </row>
    <row r="144" spans="2:18" x14ac:dyDescent="0.55000000000000004">
      <c r="B144">
        <f t="shared" si="20"/>
        <v>136</v>
      </c>
      <c r="C144" s="15">
        <f t="shared" si="21"/>
        <v>272270</v>
      </c>
      <c r="D144" s="16">
        <f t="shared" si="22"/>
        <v>121373</v>
      </c>
      <c r="E144" s="15">
        <f t="shared" si="23"/>
        <v>150897</v>
      </c>
      <c r="F144" s="15">
        <f t="shared" si="24"/>
        <v>33720643</v>
      </c>
      <c r="H144">
        <f t="shared" si="25"/>
        <v>136</v>
      </c>
      <c r="I144" s="15">
        <f t="shared" si="26"/>
        <v>216829</v>
      </c>
      <c r="J144" s="16">
        <f t="shared" si="29"/>
        <v>56554</v>
      </c>
      <c r="K144" s="15">
        <f t="shared" si="27"/>
        <v>160275</v>
      </c>
      <c r="L144" s="15">
        <f t="shared" si="28"/>
        <v>30687822</v>
      </c>
      <c r="O144" s="15"/>
      <c r="P144" s="16"/>
      <c r="Q144" s="15"/>
      <c r="R144" s="15"/>
    </row>
    <row r="145" spans="2:18" x14ac:dyDescent="0.55000000000000004">
      <c r="B145">
        <f t="shared" si="20"/>
        <v>137</v>
      </c>
      <c r="C145" s="15">
        <f t="shared" si="21"/>
        <v>272270</v>
      </c>
      <c r="D145" s="16">
        <f t="shared" si="22"/>
        <v>120832</v>
      </c>
      <c r="E145" s="15">
        <f t="shared" si="23"/>
        <v>151438</v>
      </c>
      <c r="F145" s="15">
        <f t="shared" si="24"/>
        <v>33569205</v>
      </c>
      <c r="H145">
        <f t="shared" si="25"/>
        <v>137</v>
      </c>
      <c r="I145" s="15">
        <f t="shared" si="26"/>
        <v>216829</v>
      </c>
      <c r="J145" s="16">
        <f t="shared" si="29"/>
        <v>56261</v>
      </c>
      <c r="K145" s="15">
        <f t="shared" si="27"/>
        <v>160568</v>
      </c>
      <c r="L145" s="15">
        <f t="shared" si="28"/>
        <v>30527254</v>
      </c>
      <c r="O145" s="15"/>
      <c r="P145" s="16"/>
      <c r="Q145" s="15"/>
      <c r="R145" s="15"/>
    </row>
    <row r="146" spans="2:18" x14ac:dyDescent="0.55000000000000004">
      <c r="B146">
        <f t="shared" si="20"/>
        <v>138</v>
      </c>
      <c r="C146" s="15">
        <f t="shared" si="21"/>
        <v>272270</v>
      </c>
      <c r="D146" s="16">
        <f t="shared" si="22"/>
        <v>120289</v>
      </c>
      <c r="E146" s="15">
        <f t="shared" si="23"/>
        <v>151981</v>
      </c>
      <c r="F146" s="15">
        <f t="shared" si="24"/>
        <v>33417224</v>
      </c>
      <c r="H146">
        <f t="shared" si="25"/>
        <v>138</v>
      </c>
      <c r="I146" s="15">
        <f t="shared" si="26"/>
        <v>216829</v>
      </c>
      <c r="J146" s="16">
        <f t="shared" si="29"/>
        <v>55966</v>
      </c>
      <c r="K146" s="15">
        <f t="shared" si="27"/>
        <v>160863</v>
      </c>
      <c r="L146" s="15">
        <f t="shared" si="28"/>
        <v>30366391</v>
      </c>
      <c r="O146" s="15"/>
      <c r="P146" s="16"/>
      <c r="Q146" s="15"/>
      <c r="R146" s="15"/>
    </row>
    <row r="147" spans="2:18" x14ac:dyDescent="0.55000000000000004">
      <c r="B147">
        <f t="shared" si="20"/>
        <v>139</v>
      </c>
      <c r="C147" s="15">
        <f t="shared" si="21"/>
        <v>272270</v>
      </c>
      <c r="D147" s="16">
        <f t="shared" si="22"/>
        <v>119745</v>
      </c>
      <c r="E147" s="15">
        <f t="shared" si="23"/>
        <v>152525</v>
      </c>
      <c r="F147" s="15">
        <f t="shared" si="24"/>
        <v>33264699</v>
      </c>
      <c r="H147">
        <f t="shared" si="25"/>
        <v>139</v>
      </c>
      <c r="I147" s="15">
        <f t="shared" si="26"/>
        <v>216829</v>
      </c>
      <c r="J147" s="16">
        <f t="shared" si="29"/>
        <v>55671</v>
      </c>
      <c r="K147" s="15">
        <f t="shared" si="27"/>
        <v>161158</v>
      </c>
      <c r="L147" s="15">
        <f t="shared" si="28"/>
        <v>30205233</v>
      </c>
      <c r="O147" s="15"/>
      <c r="P147" s="16"/>
      <c r="Q147" s="15"/>
      <c r="R147" s="15"/>
    </row>
    <row r="148" spans="2:18" x14ac:dyDescent="0.55000000000000004">
      <c r="B148">
        <f t="shared" si="20"/>
        <v>140</v>
      </c>
      <c r="C148" s="15">
        <f t="shared" si="21"/>
        <v>272270</v>
      </c>
      <c r="D148" s="16">
        <f t="shared" si="22"/>
        <v>119198</v>
      </c>
      <c r="E148" s="15">
        <f t="shared" si="23"/>
        <v>153072</v>
      </c>
      <c r="F148" s="15">
        <f t="shared" si="24"/>
        <v>33111627</v>
      </c>
      <c r="H148">
        <f t="shared" si="25"/>
        <v>140</v>
      </c>
      <c r="I148" s="15">
        <f t="shared" si="26"/>
        <v>216829</v>
      </c>
      <c r="J148" s="16">
        <f t="shared" si="29"/>
        <v>55376</v>
      </c>
      <c r="K148" s="15">
        <f t="shared" si="27"/>
        <v>161453</v>
      </c>
      <c r="L148" s="15">
        <f t="shared" si="28"/>
        <v>30043780</v>
      </c>
      <c r="O148" s="15"/>
      <c r="P148" s="16"/>
      <c r="Q148" s="15"/>
      <c r="R148" s="15"/>
    </row>
    <row r="149" spans="2:18" x14ac:dyDescent="0.55000000000000004">
      <c r="B149">
        <f t="shared" si="20"/>
        <v>141</v>
      </c>
      <c r="C149" s="15">
        <f t="shared" si="21"/>
        <v>272270</v>
      </c>
      <c r="D149" s="16">
        <f t="shared" si="22"/>
        <v>118649</v>
      </c>
      <c r="E149" s="15">
        <f t="shared" si="23"/>
        <v>153621</v>
      </c>
      <c r="F149" s="15">
        <f t="shared" si="24"/>
        <v>32958006</v>
      </c>
      <c r="H149">
        <f t="shared" si="25"/>
        <v>141</v>
      </c>
      <c r="I149" s="15">
        <f t="shared" si="26"/>
        <v>216829</v>
      </c>
      <c r="J149" s="16">
        <f t="shared" si="29"/>
        <v>55080</v>
      </c>
      <c r="K149" s="15">
        <f t="shared" si="27"/>
        <v>161749</v>
      </c>
      <c r="L149" s="15">
        <f t="shared" si="28"/>
        <v>29882031</v>
      </c>
      <c r="O149" s="15"/>
      <c r="P149" s="16"/>
      <c r="Q149" s="15"/>
      <c r="R149" s="15"/>
    </row>
    <row r="150" spans="2:18" x14ac:dyDescent="0.55000000000000004">
      <c r="B150">
        <f t="shared" si="20"/>
        <v>142</v>
      </c>
      <c r="C150" s="15">
        <f t="shared" si="21"/>
        <v>272270</v>
      </c>
      <c r="D150" s="16">
        <f t="shared" si="22"/>
        <v>118099</v>
      </c>
      <c r="E150" s="15">
        <f t="shared" si="23"/>
        <v>154171</v>
      </c>
      <c r="F150" s="15">
        <f t="shared" si="24"/>
        <v>32803835</v>
      </c>
      <c r="H150">
        <f t="shared" si="25"/>
        <v>142</v>
      </c>
      <c r="I150" s="15">
        <f t="shared" si="26"/>
        <v>216829</v>
      </c>
      <c r="J150" s="16">
        <f t="shared" si="29"/>
        <v>54783</v>
      </c>
      <c r="K150" s="15">
        <f t="shared" si="27"/>
        <v>162046</v>
      </c>
      <c r="L150" s="15">
        <f t="shared" si="28"/>
        <v>29719985</v>
      </c>
      <c r="O150" s="15"/>
      <c r="P150" s="16"/>
      <c r="Q150" s="15"/>
      <c r="R150" s="15"/>
    </row>
    <row r="151" spans="2:18" x14ac:dyDescent="0.55000000000000004">
      <c r="B151">
        <f t="shared" si="20"/>
        <v>143</v>
      </c>
      <c r="C151" s="15">
        <f t="shared" si="21"/>
        <v>272270</v>
      </c>
      <c r="D151" s="16">
        <f t="shared" si="22"/>
        <v>117547</v>
      </c>
      <c r="E151" s="15">
        <f t="shared" si="23"/>
        <v>154723</v>
      </c>
      <c r="F151" s="15">
        <f t="shared" si="24"/>
        <v>32649112</v>
      </c>
      <c r="H151">
        <f t="shared" si="25"/>
        <v>143</v>
      </c>
      <c r="I151" s="15">
        <f t="shared" si="26"/>
        <v>216829</v>
      </c>
      <c r="J151" s="16">
        <f t="shared" si="29"/>
        <v>54486</v>
      </c>
      <c r="K151" s="15">
        <f t="shared" si="27"/>
        <v>162343</v>
      </c>
      <c r="L151" s="15">
        <f t="shared" si="28"/>
        <v>29557642</v>
      </c>
      <c r="O151" s="15"/>
      <c r="P151" s="16"/>
      <c r="Q151" s="15"/>
      <c r="R151" s="15"/>
    </row>
    <row r="152" spans="2:18" x14ac:dyDescent="0.55000000000000004">
      <c r="B152">
        <f t="shared" si="20"/>
        <v>144</v>
      </c>
      <c r="C152" s="15">
        <f t="shared" si="21"/>
        <v>272270</v>
      </c>
      <c r="D152" s="16">
        <f t="shared" si="22"/>
        <v>116992</v>
      </c>
      <c r="E152" s="15">
        <f t="shared" si="23"/>
        <v>155278</v>
      </c>
      <c r="F152" s="15">
        <f t="shared" si="24"/>
        <v>32493834</v>
      </c>
      <c r="H152">
        <f t="shared" si="25"/>
        <v>144</v>
      </c>
      <c r="I152" s="15">
        <f t="shared" si="26"/>
        <v>216829</v>
      </c>
      <c r="J152" s="16">
        <f t="shared" si="29"/>
        <v>54189</v>
      </c>
      <c r="K152" s="15">
        <f t="shared" si="27"/>
        <v>162640</v>
      </c>
      <c r="L152" s="15">
        <f t="shared" si="28"/>
        <v>29395002</v>
      </c>
      <c r="O152" s="15"/>
      <c r="P152" s="16"/>
      <c r="Q152" s="15"/>
      <c r="R152" s="15"/>
    </row>
    <row r="153" spans="2:18" x14ac:dyDescent="0.55000000000000004">
      <c r="B153">
        <f t="shared" si="20"/>
        <v>145</v>
      </c>
      <c r="C153" s="15">
        <f t="shared" si="21"/>
        <v>272270</v>
      </c>
      <c r="D153" s="16">
        <f t="shared" si="22"/>
        <v>116436</v>
      </c>
      <c r="E153" s="15">
        <f t="shared" si="23"/>
        <v>155834</v>
      </c>
      <c r="F153" s="15">
        <f t="shared" si="24"/>
        <v>32338000</v>
      </c>
      <c r="H153">
        <f t="shared" si="25"/>
        <v>145</v>
      </c>
      <c r="I153" s="15">
        <f t="shared" si="26"/>
        <v>216829</v>
      </c>
      <c r="J153" s="16">
        <f t="shared" si="29"/>
        <v>53890</v>
      </c>
      <c r="K153" s="15">
        <f t="shared" si="27"/>
        <v>162939</v>
      </c>
      <c r="L153" s="15">
        <f t="shared" si="28"/>
        <v>29232063</v>
      </c>
      <c r="O153" s="15"/>
      <c r="P153" s="16"/>
      <c r="Q153" s="15"/>
      <c r="R153" s="15"/>
    </row>
    <row r="154" spans="2:18" x14ac:dyDescent="0.55000000000000004">
      <c r="B154">
        <f t="shared" si="20"/>
        <v>146</v>
      </c>
      <c r="C154" s="15">
        <f t="shared" si="21"/>
        <v>272270</v>
      </c>
      <c r="D154" s="16">
        <f t="shared" si="22"/>
        <v>115877</v>
      </c>
      <c r="E154" s="15">
        <f t="shared" si="23"/>
        <v>156393</v>
      </c>
      <c r="F154" s="15">
        <f t="shared" si="24"/>
        <v>32181607</v>
      </c>
      <c r="H154">
        <f t="shared" si="25"/>
        <v>146</v>
      </c>
      <c r="I154" s="15">
        <f t="shared" si="26"/>
        <v>216829</v>
      </c>
      <c r="J154" s="16">
        <f t="shared" si="29"/>
        <v>53592</v>
      </c>
      <c r="K154" s="15">
        <f t="shared" si="27"/>
        <v>163237</v>
      </c>
      <c r="L154" s="15">
        <f t="shared" si="28"/>
        <v>29068826</v>
      </c>
      <c r="O154" s="15"/>
      <c r="P154" s="16"/>
      <c r="Q154" s="15"/>
      <c r="R154" s="15"/>
    </row>
    <row r="155" spans="2:18" x14ac:dyDescent="0.55000000000000004">
      <c r="B155">
        <f t="shared" si="20"/>
        <v>147</v>
      </c>
      <c r="C155" s="15">
        <f t="shared" si="21"/>
        <v>272270</v>
      </c>
      <c r="D155" s="16">
        <f t="shared" si="22"/>
        <v>115317</v>
      </c>
      <c r="E155" s="15">
        <f t="shared" si="23"/>
        <v>156953</v>
      </c>
      <c r="F155" s="15">
        <f t="shared" si="24"/>
        <v>32024654</v>
      </c>
      <c r="H155">
        <f t="shared" si="25"/>
        <v>147</v>
      </c>
      <c r="I155" s="15">
        <f t="shared" si="26"/>
        <v>216829</v>
      </c>
      <c r="J155" s="16">
        <f t="shared" si="29"/>
        <v>53292</v>
      </c>
      <c r="K155" s="15">
        <f t="shared" si="27"/>
        <v>163537</v>
      </c>
      <c r="L155" s="15">
        <f t="shared" si="28"/>
        <v>28905289</v>
      </c>
      <c r="O155" s="15"/>
      <c r="P155" s="16"/>
      <c r="Q155" s="15"/>
      <c r="R155" s="15"/>
    </row>
    <row r="156" spans="2:18" x14ac:dyDescent="0.55000000000000004">
      <c r="B156">
        <f t="shared" si="20"/>
        <v>148</v>
      </c>
      <c r="C156" s="15">
        <f t="shared" si="21"/>
        <v>272270</v>
      </c>
      <c r="D156" s="16">
        <f t="shared" si="22"/>
        <v>114755</v>
      </c>
      <c r="E156" s="15">
        <f t="shared" si="23"/>
        <v>157515</v>
      </c>
      <c r="F156" s="15">
        <f t="shared" si="24"/>
        <v>31867139</v>
      </c>
      <c r="H156">
        <f t="shared" si="25"/>
        <v>148</v>
      </c>
      <c r="I156" s="15">
        <f t="shared" si="26"/>
        <v>216829</v>
      </c>
      <c r="J156" s="16">
        <f t="shared" si="29"/>
        <v>52993</v>
      </c>
      <c r="K156" s="15">
        <f t="shared" si="27"/>
        <v>163836</v>
      </c>
      <c r="L156" s="15">
        <f t="shared" si="28"/>
        <v>28741453</v>
      </c>
      <c r="O156" s="15"/>
      <c r="P156" s="16"/>
      <c r="Q156" s="15"/>
      <c r="R156" s="15"/>
    </row>
    <row r="157" spans="2:18" x14ac:dyDescent="0.55000000000000004">
      <c r="B157">
        <f t="shared" si="20"/>
        <v>149</v>
      </c>
      <c r="C157" s="15">
        <f t="shared" si="21"/>
        <v>272270</v>
      </c>
      <c r="D157" s="16">
        <f t="shared" si="22"/>
        <v>114190</v>
      </c>
      <c r="E157" s="15">
        <f t="shared" si="23"/>
        <v>158080</v>
      </c>
      <c r="F157" s="15">
        <f t="shared" si="24"/>
        <v>31709059</v>
      </c>
      <c r="H157">
        <f t="shared" si="25"/>
        <v>149</v>
      </c>
      <c r="I157" s="15">
        <f t="shared" si="26"/>
        <v>216829</v>
      </c>
      <c r="J157" s="16">
        <f t="shared" si="29"/>
        <v>52692</v>
      </c>
      <c r="K157" s="15">
        <f t="shared" si="27"/>
        <v>164137</v>
      </c>
      <c r="L157" s="15">
        <f t="shared" si="28"/>
        <v>28577316</v>
      </c>
      <c r="O157" s="15"/>
      <c r="P157" s="16"/>
      <c r="Q157" s="15"/>
      <c r="R157" s="15"/>
    </row>
    <row r="158" spans="2:18" x14ac:dyDescent="0.55000000000000004">
      <c r="B158">
        <f t="shared" si="20"/>
        <v>150</v>
      </c>
      <c r="C158" s="15">
        <f t="shared" si="21"/>
        <v>272270</v>
      </c>
      <c r="D158" s="16">
        <f t="shared" si="22"/>
        <v>113624</v>
      </c>
      <c r="E158" s="15">
        <f t="shared" si="23"/>
        <v>158646</v>
      </c>
      <c r="F158" s="15">
        <f t="shared" si="24"/>
        <v>31550413</v>
      </c>
      <c r="H158">
        <f t="shared" si="25"/>
        <v>150</v>
      </c>
      <c r="I158" s="15">
        <f t="shared" si="26"/>
        <v>216829</v>
      </c>
      <c r="J158" s="16">
        <f t="shared" si="29"/>
        <v>52391</v>
      </c>
      <c r="K158" s="15">
        <f t="shared" si="27"/>
        <v>164438</v>
      </c>
      <c r="L158" s="15">
        <f t="shared" si="28"/>
        <v>28412878</v>
      </c>
      <c r="O158" s="15"/>
      <c r="P158" s="16"/>
      <c r="Q158" s="15"/>
      <c r="R158" s="15"/>
    </row>
    <row r="159" spans="2:18" x14ac:dyDescent="0.55000000000000004">
      <c r="B159">
        <f t="shared" si="20"/>
        <v>151</v>
      </c>
      <c r="C159" s="15">
        <f t="shared" si="21"/>
        <v>272270</v>
      </c>
      <c r="D159" s="16">
        <f t="shared" si="22"/>
        <v>113055</v>
      </c>
      <c r="E159" s="15">
        <f t="shared" si="23"/>
        <v>159215</v>
      </c>
      <c r="F159" s="15">
        <f t="shared" si="24"/>
        <v>31391198</v>
      </c>
      <c r="H159">
        <f t="shared" si="25"/>
        <v>151</v>
      </c>
      <c r="I159" s="15">
        <f t="shared" si="26"/>
        <v>216829</v>
      </c>
      <c r="J159" s="16">
        <f t="shared" si="29"/>
        <v>52090</v>
      </c>
      <c r="K159" s="15">
        <f t="shared" si="27"/>
        <v>164739</v>
      </c>
      <c r="L159" s="15">
        <f t="shared" si="28"/>
        <v>28248139</v>
      </c>
      <c r="O159" s="15"/>
      <c r="P159" s="16"/>
      <c r="Q159" s="15"/>
      <c r="R159" s="15"/>
    </row>
    <row r="160" spans="2:18" x14ac:dyDescent="0.55000000000000004">
      <c r="B160">
        <f t="shared" si="20"/>
        <v>152</v>
      </c>
      <c r="C160" s="15">
        <f t="shared" si="21"/>
        <v>272270</v>
      </c>
      <c r="D160" s="16">
        <f t="shared" si="22"/>
        <v>112485</v>
      </c>
      <c r="E160" s="15">
        <f t="shared" si="23"/>
        <v>159785</v>
      </c>
      <c r="F160" s="15">
        <f t="shared" si="24"/>
        <v>31231413</v>
      </c>
      <c r="H160">
        <f t="shared" si="25"/>
        <v>152</v>
      </c>
      <c r="I160" s="15">
        <f t="shared" si="26"/>
        <v>216829</v>
      </c>
      <c r="J160" s="16">
        <f t="shared" si="29"/>
        <v>51788</v>
      </c>
      <c r="K160" s="15">
        <f t="shared" si="27"/>
        <v>165041</v>
      </c>
      <c r="L160" s="15">
        <f t="shared" si="28"/>
        <v>28083098</v>
      </c>
      <c r="O160" s="15"/>
      <c r="P160" s="16"/>
      <c r="Q160" s="15"/>
      <c r="R160" s="15"/>
    </row>
    <row r="161" spans="2:18" x14ac:dyDescent="0.55000000000000004">
      <c r="B161">
        <f t="shared" si="20"/>
        <v>153</v>
      </c>
      <c r="C161" s="15">
        <f t="shared" si="21"/>
        <v>272270</v>
      </c>
      <c r="D161" s="16">
        <f t="shared" si="22"/>
        <v>111912</v>
      </c>
      <c r="E161" s="15">
        <f t="shared" si="23"/>
        <v>160358</v>
      </c>
      <c r="F161" s="15">
        <f t="shared" si="24"/>
        <v>31071055</v>
      </c>
      <c r="H161">
        <f t="shared" si="25"/>
        <v>153</v>
      </c>
      <c r="I161" s="15">
        <f t="shared" si="26"/>
        <v>216829</v>
      </c>
      <c r="J161" s="16">
        <f t="shared" si="29"/>
        <v>51485</v>
      </c>
      <c r="K161" s="15">
        <f t="shared" si="27"/>
        <v>165344</v>
      </c>
      <c r="L161" s="15">
        <f t="shared" si="28"/>
        <v>27917754</v>
      </c>
      <c r="O161" s="15"/>
      <c r="P161" s="16"/>
      <c r="Q161" s="15"/>
      <c r="R161" s="15"/>
    </row>
    <row r="162" spans="2:18" x14ac:dyDescent="0.55000000000000004">
      <c r="B162">
        <f t="shared" si="20"/>
        <v>154</v>
      </c>
      <c r="C162" s="15">
        <f t="shared" si="21"/>
        <v>272270</v>
      </c>
      <c r="D162" s="16">
        <f t="shared" si="22"/>
        <v>111337</v>
      </c>
      <c r="E162" s="15">
        <f t="shared" si="23"/>
        <v>160933</v>
      </c>
      <c r="F162" s="15">
        <f t="shared" si="24"/>
        <v>30910122</v>
      </c>
      <c r="H162">
        <f t="shared" si="25"/>
        <v>154</v>
      </c>
      <c r="I162" s="15">
        <f t="shared" si="26"/>
        <v>216829</v>
      </c>
      <c r="J162" s="16">
        <f t="shared" si="29"/>
        <v>51182</v>
      </c>
      <c r="K162" s="15">
        <f t="shared" si="27"/>
        <v>165647</v>
      </c>
      <c r="L162" s="15">
        <f t="shared" si="28"/>
        <v>27752107</v>
      </c>
      <c r="O162" s="15"/>
      <c r="P162" s="16"/>
      <c r="Q162" s="15"/>
      <c r="R162" s="15"/>
    </row>
    <row r="163" spans="2:18" x14ac:dyDescent="0.55000000000000004">
      <c r="B163">
        <f t="shared" si="20"/>
        <v>155</v>
      </c>
      <c r="C163" s="15">
        <f t="shared" si="21"/>
        <v>272270</v>
      </c>
      <c r="D163" s="16">
        <f t="shared" si="22"/>
        <v>110761</v>
      </c>
      <c r="E163" s="15">
        <f t="shared" si="23"/>
        <v>161509</v>
      </c>
      <c r="F163" s="15">
        <f t="shared" si="24"/>
        <v>30748613</v>
      </c>
      <c r="H163">
        <f t="shared" si="25"/>
        <v>155</v>
      </c>
      <c r="I163" s="15">
        <f t="shared" si="26"/>
        <v>216829</v>
      </c>
      <c r="J163" s="16">
        <f t="shared" si="29"/>
        <v>50878</v>
      </c>
      <c r="K163" s="15">
        <f t="shared" si="27"/>
        <v>165951</v>
      </c>
      <c r="L163" s="15">
        <f t="shared" si="28"/>
        <v>27586156</v>
      </c>
      <c r="O163" s="15"/>
      <c r="P163" s="16"/>
      <c r="Q163" s="15"/>
      <c r="R163" s="15"/>
    </row>
    <row r="164" spans="2:18" x14ac:dyDescent="0.55000000000000004">
      <c r="B164">
        <f t="shared" si="20"/>
        <v>156</v>
      </c>
      <c r="C164" s="15">
        <f t="shared" si="21"/>
        <v>272270</v>
      </c>
      <c r="D164" s="16">
        <f t="shared" si="22"/>
        <v>110182</v>
      </c>
      <c r="E164" s="15">
        <f t="shared" si="23"/>
        <v>162088</v>
      </c>
      <c r="F164" s="15">
        <f t="shared" si="24"/>
        <v>30586525</v>
      </c>
      <c r="H164">
        <f t="shared" si="25"/>
        <v>156</v>
      </c>
      <c r="I164" s="15">
        <f t="shared" si="26"/>
        <v>216829</v>
      </c>
      <c r="J164" s="16">
        <f t="shared" si="29"/>
        <v>50574</v>
      </c>
      <c r="K164" s="15">
        <f t="shared" si="27"/>
        <v>166255</v>
      </c>
      <c r="L164" s="15">
        <f t="shared" si="28"/>
        <v>27419901</v>
      </c>
      <c r="O164" s="15"/>
      <c r="P164" s="16"/>
      <c r="Q164" s="15"/>
      <c r="R164" s="15"/>
    </row>
    <row r="165" spans="2:18" x14ac:dyDescent="0.55000000000000004">
      <c r="B165">
        <f t="shared" si="20"/>
        <v>157</v>
      </c>
      <c r="C165" s="15">
        <f t="shared" si="21"/>
        <v>272270</v>
      </c>
      <c r="D165" s="16">
        <f t="shared" si="22"/>
        <v>109601</v>
      </c>
      <c r="E165" s="15">
        <f t="shared" si="23"/>
        <v>162669</v>
      </c>
      <c r="F165" s="15">
        <f t="shared" si="24"/>
        <v>30423856</v>
      </c>
      <c r="H165">
        <f t="shared" si="25"/>
        <v>157</v>
      </c>
      <c r="I165" s="15">
        <f t="shared" si="26"/>
        <v>216829</v>
      </c>
      <c r="J165" s="16">
        <f t="shared" si="29"/>
        <v>50269</v>
      </c>
      <c r="K165" s="15">
        <f t="shared" si="27"/>
        <v>166560</v>
      </c>
      <c r="L165" s="15">
        <f t="shared" si="28"/>
        <v>27253341</v>
      </c>
      <c r="O165" s="15"/>
      <c r="P165" s="16"/>
      <c r="Q165" s="15"/>
      <c r="R165" s="15"/>
    </row>
    <row r="166" spans="2:18" x14ac:dyDescent="0.55000000000000004">
      <c r="B166">
        <f t="shared" si="20"/>
        <v>158</v>
      </c>
      <c r="C166" s="15">
        <f t="shared" si="21"/>
        <v>272270</v>
      </c>
      <c r="D166" s="16">
        <f t="shared" si="22"/>
        <v>109018</v>
      </c>
      <c r="E166" s="15">
        <f t="shared" si="23"/>
        <v>163252</v>
      </c>
      <c r="F166" s="15">
        <f t="shared" si="24"/>
        <v>30260604</v>
      </c>
      <c r="H166">
        <f t="shared" si="25"/>
        <v>158</v>
      </c>
      <c r="I166" s="15">
        <f t="shared" si="26"/>
        <v>216829</v>
      </c>
      <c r="J166" s="16">
        <f t="shared" si="29"/>
        <v>49964</v>
      </c>
      <c r="K166" s="15">
        <f t="shared" si="27"/>
        <v>166865</v>
      </c>
      <c r="L166" s="15">
        <f t="shared" si="28"/>
        <v>27086476</v>
      </c>
      <c r="O166" s="15"/>
      <c r="P166" s="16"/>
      <c r="Q166" s="15"/>
      <c r="R166" s="15"/>
    </row>
    <row r="167" spans="2:18" x14ac:dyDescent="0.55000000000000004">
      <c r="B167">
        <f t="shared" si="20"/>
        <v>159</v>
      </c>
      <c r="C167" s="15">
        <f t="shared" si="21"/>
        <v>272270</v>
      </c>
      <c r="D167" s="16">
        <f t="shared" si="22"/>
        <v>108433</v>
      </c>
      <c r="E167" s="15">
        <f t="shared" si="23"/>
        <v>163837</v>
      </c>
      <c r="F167" s="15">
        <f t="shared" si="24"/>
        <v>30096767</v>
      </c>
      <c r="H167">
        <f t="shared" si="25"/>
        <v>159</v>
      </c>
      <c r="I167" s="15">
        <f t="shared" si="26"/>
        <v>216829</v>
      </c>
      <c r="J167" s="16">
        <f t="shared" si="29"/>
        <v>49658</v>
      </c>
      <c r="K167" s="15">
        <f t="shared" si="27"/>
        <v>167171</v>
      </c>
      <c r="L167" s="15">
        <f t="shared" si="28"/>
        <v>26919305</v>
      </c>
      <c r="O167" s="15"/>
      <c r="P167" s="16"/>
      <c r="Q167" s="15"/>
      <c r="R167" s="15"/>
    </row>
    <row r="168" spans="2:18" x14ac:dyDescent="0.55000000000000004">
      <c r="B168">
        <f t="shared" si="20"/>
        <v>160</v>
      </c>
      <c r="C168" s="15">
        <f t="shared" si="21"/>
        <v>272270</v>
      </c>
      <c r="D168" s="16">
        <f t="shared" si="22"/>
        <v>107846</v>
      </c>
      <c r="E168" s="15">
        <f t="shared" si="23"/>
        <v>164424</v>
      </c>
      <c r="F168" s="15">
        <f t="shared" si="24"/>
        <v>29932343</v>
      </c>
      <c r="H168">
        <f t="shared" si="25"/>
        <v>160</v>
      </c>
      <c r="I168" s="15">
        <f t="shared" si="26"/>
        <v>216829</v>
      </c>
      <c r="J168" s="16">
        <f t="shared" si="29"/>
        <v>49352</v>
      </c>
      <c r="K168" s="15">
        <f t="shared" si="27"/>
        <v>167477</v>
      </c>
      <c r="L168" s="15">
        <f t="shared" si="28"/>
        <v>26751828</v>
      </c>
      <c r="O168" s="15"/>
      <c r="P168" s="16"/>
      <c r="Q168" s="15"/>
      <c r="R168" s="15"/>
    </row>
    <row r="169" spans="2:18" x14ac:dyDescent="0.55000000000000004">
      <c r="B169">
        <f t="shared" si="20"/>
        <v>161</v>
      </c>
      <c r="C169" s="15">
        <f t="shared" si="21"/>
        <v>272270</v>
      </c>
      <c r="D169" s="16">
        <f t="shared" si="22"/>
        <v>107257</v>
      </c>
      <c r="E169" s="15">
        <f t="shared" si="23"/>
        <v>165013</v>
      </c>
      <c r="F169" s="15">
        <f t="shared" si="24"/>
        <v>29767330</v>
      </c>
      <c r="H169">
        <f t="shared" si="25"/>
        <v>161</v>
      </c>
      <c r="I169" s="15">
        <f t="shared" si="26"/>
        <v>216829</v>
      </c>
      <c r="J169" s="16">
        <f t="shared" si="29"/>
        <v>49045</v>
      </c>
      <c r="K169" s="15">
        <f t="shared" si="27"/>
        <v>167784</v>
      </c>
      <c r="L169" s="15">
        <f t="shared" si="28"/>
        <v>26584044</v>
      </c>
      <c r="O169" s="15"/>
      <c r="P169" s="16"/>
      <c r="Q169" s="15"/>
      <c r="R169" s="15"/>
    </row>
    <row r="170" spans="2:18" x14ac:dyDescent="0.55000000000000004">
      <c r="B170">
        <f t="shared" si="20"/>
        <v>162</v>
      </c>
      <c r="C170" s="15">
        <f t="shared" si="21"/>
        <v>272270</v>
      </c>
      <c r="D170" s="16">
        <f t="shared" si="22"/>
        <v>106666</v>
      </c>
      <c r="E170" s="15">
        <f t="shared" si="23"/>
        <v>165604</v>
      </c>
      <c r="F170" s="15">
        <f t="shared" si="24"/>
        <v>29601726</v>
      </c>
      <c r="H170">
        <f t="shared" si="25"/>
        <v>162</v>
      </c>
      <c r="I170" s="15">
        <f t="shared" si="26"/>
        <v>216829</v>
      </c>
      <c r="J170" s="16">
        <f t="shared" si="29"/>
        <v>48737</v>
      </c>
      <c r="K170" s="15">
        <f t="shared" si="27"/>
        <v>168092</v>
      </c>
      <c r="L170" s="15">
        <f t="shared" si="28"/>
        <v>26415952</v>
      </c>
      <c r="O170" s="15"/>
      <c r="P170" s="16"/>
      <c r="Q170" s="15"/>
      <c r="R170" s="15"/>
    </row>
    <row r="171" spans="2:18" x14ac:dyDescent="0.55000000000000004">
      <c r="B171">
        <f t="shared" si="20"/>
        <v>163</v>
      </c>
      <c r="C171" s="15">
        <f t="shared" si="21"/>
        <v>272270</v>
      </c>
      <c r="D171" s="16">
        <f t="shared" si="22"/>
        <v>106072</v>
      </c>
      <c r="E171" s="15">
        <f t="shared" si="23"/>
        <v>166198</v>
      </c>
      <c r="F171" s="15">
        <f t="shared" si="24"/>
        <v>29435528</v>
      </c>
      <c r="H171">
        <f t="shared" si="25"/>
        <v>163</v>
      </c>
      <c r="I171" s="15">
        <f t="shared" si="26"/>
        <v>216829</v>
      </c>
      <c r="J171" s="16">
        <f t="shared" si="29"/>
        <v>48429</v>
      </c>
      <c r="K171" s="15">
        <f t="shared" si="27"/>
        <v>168400</v>
      </c>
      <c r="L171" s="15">
        <f t="shared" si="28"/>
        <v>26247552</v>
      </c>
      <c r="O171" s="15"/>
      <c r="P171" s="16"/>
      <c r="Q171" s="15"/>
      <c r="R171" s="15"/>
    </row>
    <row r="172" spans="2:18" x14ac:dyDescent="0.55000000000000004">
      <c r="B172">
        <f t="shared" si="20"/>
        <v>164</v>
      </c>
      <c r="C172" s="15">
        <f t="shared" si="21"/>
        <v>272270</v>
      </c>
      <c r="D172" s="16">
        <f t="shared" si="22"/>
        <v>105477</v>
      </c>
      <c r="E172" s="15">
        <f t="shared" si="23"/>
        <v>166793</v>
      </c>
      <c r="F172" s="15">
        <f t="shared" si="24"/>
        <v>29268735</v>
      </c>
      <c r="H172">
        <f t="shared" si="25"/>
        <v>164</v>
      </c>
      <c r="I172" s="15">
        <f t="shared" si="26"/>
        <v>216829</v>
      </c>
      <c r="J172" s="16">
        <f t="shared" si="29"/>
        <v>48120</v>
      </c>
      <c r="K172" s="15">
        <f t="shared" si="27"/>
        <v>168709</v>
      </c>
      <c r="L172" s="15">
        <f t="shared" si="28"/>
        <v>26078843</v>
      </c>
      <c r="O172" s="15"/>
      <c r="P172" s="16"/>
      <c r="Q172" s="15"/>
      <c r="R172" s="15"/>
    </row>
    <row r="173" spans="2:18" x14ac:dyDescent="0.55000000000000004">
      <c r="B173">
        <f t="shared" si="20"/>
        <v>165</v>
      </c>
      <c r="C173" s="15">
        <f t="shared" si="21"/>
        <v>272270</v>
      </c>
      <c r="D173" s="16">
        <f t="shared" si="22"/>
        <v>104879</v>
      </c>
      <c r="E173" s="15">
        <f t="shared" si="23"/>
        <v>167391</v>
      </c>
      <c r="F173" s="15">
        <f t="shared" si="24"/>
        <v>29101344</v>
      </c>
      <c r="H173">
        <f t="shared" si="25"/>
        <v>165</v>
      </c>
      <c r="I173" s="15">
        <f t="shared" si="26"/>
        <v>216829</v>
      </c>
      <c r="J173" s="16">
        <f t="shared" si="29"/>
        <v>47811</v>
      </c>
      <c r="K173" s="15">
        <f t="shared" si="27"/>
        <v>169018</v>
      </c>
      <c r="L173" s="15">
        <f t="shared" si="28"/>
        <v>25909825</v>
      </c>
      <c r="O173" s="15"/>
      <c r="P173" s="16"/>
      <c r="Q173" s="15"/>
      <c r="R173" s="15"/>
    </row>
    <row r="174" spans="2:18" x14ac:dyDescent="0.55000000000000004">
      <c r="B174">
        <f t="shared" si="20"/>
        <v>166</v>
      </c>
      <c r="C174" s="15">
        <f t="shared" si="21"/>
        <v>272270</v>
      </c>
      <c r="D174" s="16">
        <f t="shared" si="22"/>
        <v>104279</v>
      </c>
      <c r="E174" s="15">
        <f t="shared" si="23"/>
        <v>167991</v>
      </c>
      <c r="F174" s="15">
        <f t="shared" si="24"/>
        <v>28933353</v>
      </c>
      <c r="H174">
        <f t="shared" si="25"/>
        <v>166</v>
      </c>
      <c r="I174" s="15">
        <f t="shared" si="26"/>
        <v>216829</v>
      </c>
      <c r="J174" s="16">
        <f t="shared" si="29"/>
        <v>47501</v>
      </c>
      <c r="K174" s="15">
        <f t="shared" si="27"/>
        <v>169328</v>
      </c>
      <c r="L174" s="15">
        <f t="shared" si="28"/>
        <v>25740497</v>
      </c>
      <c r="O174" s="15"/>
      <c r="P174" s="16"/>
      <c r="Q174" s="15"/>
      <c r="R174" s="15"/>
    </row>
    <row r="175" spans="2:18" x14ac:dyDescent="0.55000000000000004">
      <c r="B175">
        <f t="shared" si="20"/>
        <v>167</v>
      </c>
      <c r="C175" s="15">
        <f t="shared" si="21"/>
        <v>272270</v>
      </c>
      <c r="D175" s="16">
        <f t="shared" si="22"/>
        <v>103677</v>
      </c>
      <c r="E175" s="15">
        <f t="shared" si="23"/>
        <v>168593</v>
      </c>
      <c r="F175" s="15">
        <f t="shared" si="24"/>
        <v>28764760</v>
      </c>
      <c r="H175">
        <f t="shared" si="25"/>
        <v>167</v>
      </c>
      <c r="I175" s="15">
        <f t="shared" si="26"/>
        <v>216829</v>
      </c>
      <c r="J175" s="16">
        <f t="shared" si="29"/>
        <v>47190</v>
      </c>
      <c r="K175" s="15">
        <f t="shared" si="27"/>
        <v>169639</v>
      </c>
      <c r="L175" s="15">
        <f t="shared" si="28"/>
        <v>25570858</v>
      </c>
      <c r="O175" s="15"/>
      <c r="P175" s="16"/>
      <c r="Q175" s="15"/>
      <c r="R175" s="15"/>
    </row>
    <row r="176" spans="2:18" x14ac:dyDescent="0.55000000000000004">
      <c r="B176">
        <f t="shared" si="20"/>
        <v>168</v>
      </c>
      <c r="C176" s="15">
        <f t="shared" si="21"/>
        <v>272270</v>
      </c>
      <c r="D176" s="16">
        <f t="shared" si="22"/>
        <v>103073</v>
      </c>
      <c r="E176" s="15">
        <f t="shared" si="23"/>
        <v>169197</v>
      </c>
      <c r="F176" s="15">
        <f t="shared" si="24"/>
        <v>28595563</v>
      </c>
      <c r="H176">
        <f t="shared" si="25"/>
        <v>168</v>
      </c>
      <c r="I176" s="15">
        <f t="shared" si="26"/>
        <v>216829</v>
      </c>
      <c r="J176" s="16">
        <f t="shared" si="29"/>
        <v>46879</v>
      </c>
      <c r="K176" s="15">
        <f t="shared" si="27"/>
        <v>169950</v>
      </c>
      <c r="L176" s="15">
        <f t="shared" si="28"/>
        <v>25400908</v>
      </c>
      <c r="O176" s="15"/>
      <c r="P176" s="16"/>
      <c r="Q176" s="15"/>
      <c r="R176" s="15"/>
    </row>
    <row r="177" spans="2:18" x14ac:dyDescent="0.55000000000000004">
      <c r="B177">
        <f t="shared" si="20"/>
        <v>169</v>
      </c>
      <c r="C177" s="15">
        <f t="shared" si="21"/>
        <v>272270</v>
      </c>
      <c r="D177" s="16">
        <f t="shared" si="22"/>
        <v>102467</v>
      </c>
      <c r="E177" s="15">
        <f t="shared" si="23"/>
        <v>169803</v>
      </c>
      <c r="F177" s="15">
        <f t="shared" si="24"/>
        <v>28425760</v>
      </c>
      <c r="H177">
        <f t="shared" si="25"/>
        <v>169</v>
      </c>
      <c r="I177" s="15">
        <f t="shared" si="26"/>
        <v>216829</v>
      </c>
      <c r="J177" s="16">
        <f t="shared" si="29"/>
        <v>46568</v>
      </c>
      <c r="K177" s="15">
        <f t="shared" si="27"/>
        <v>170261</v>
      </c>
      <c r="L177" s="15">
        <f t="shared" si="28"/>
        <v>25230647</v>
      </c>
      <c r="O177" s="15"/>
      <c r="P177" s="16"/>
      <c r="Q177" s="15"/>
      <c r="R177" s="15"/>
    </row>
    <row r="178" spans="2:18" x14ac:dyDescent="0.55000000000000004">
      <c r="B178">
        <f t="shared" si="20"/>
        <v>170</v>
      </c>
      <c r="C178" s="15">
        <f t="shared" si="21"/>
        <v>272270</v>
      </c>
      <c r="D178" s="16">
        <f t="shared" si="22"/>
        <v>101858</v>
      </c>
      <c r="E178" s="15">
        <f t="shared" si="23"/>
        <v>170412</v>
      </c>
      <c r="F178" s="15">
        <f t="shared" si="24"/>
        <v>28255348</v>
      </c>
      <c r="H178">
        <f t="shared" si="25"/>
        <v>170</v>
      </c>
      <c r="I178" s="15">
        <f t="shared" si="26"/>
        <v>216829</v>
      </c>
      <c r="J178" s="16">
        <f t="shared" si="29"/>
        <v>46256</v>
      </c>
      <c r="K178" s="15">
        <f t="shared" si="27"/>
        <v>170573</v>
      </c>
      <c r="L178" s="15">
        <f t="shared" si="28"/>
        <v>25060074</v>
      </c>
      <c r="O178" s="15"/>
      <c r="P178" s="16"/>
      <c r="Q178" s="15"/>
      <c r="R178" s="15"/>
    </row>
    <row r="179" spans="2:18" x14ac:dyDescent="0.55000000000000004">
      <c r="B179">
        <f t="shared" si="20"/>
        <v>171</v>
      </c>
      <c r="C179" s="15">
        <f t="shared" si="21"/>
        <v>272270</v>
      </c>
      <c r="D179" s="16">
        <f t="shared" si="22"/>
        <v>101248</v>
      </c>
      <c r="E179" s="15">
        <f t="shared" si="23"/>
        <v>171022</v>
      </c>
      <c r="F179" s="15">
        <f t="shared" si="24"/>
        <v>28084326</v>
      </c>
      <c r="H179">
        <f t="shared" si="25"/>
        <v>171</v>
      </c>
      <c r="I179" s="15">
        <f t="shared" si="26"/>
        <v>216829</v>
      </c>
      <c r="J179" s="16">
        <f t="shared" si="29"/>
        <v>45943</v>
      </c>
      <c r="K179" s="15">
        <f t="shared" si="27"/>
        <v>170886</v>
      </c>
      <c r="L179" s="15">
        <f t="shared" si="28"/>
        <v>24889188</v>
      </c>
      <c r="O179" s="15"/>
      <c r="P179" s="16"/>
      <c r="Q179" s="15"/>
      <c r="R179" s="15"/>
    </row>
    <row r="180" spans="2:18" x14ac:dyDescent="0.55000000000000004">
      <c r="B180">
        <f t="shared" si="20"/>
        <v>172</v>
      </c>
      <c r="C180" s="15">
        <f t="shared" si="21"/>
        <v>272270</v>
      </c>
      <c r="D180" s="16">
        <f t="shared" si="22"/>
        <v>100635</v>
      </c>
      <c r="E180" s="15">
        <f t="shared" si="23"/>
        <v>171635</v>
      </c>
      <c r="F180" s="15">
        <f t="shared" si="24"/>
        <v>27912691</v>
      </c>
      <c r="H180">
        <f t="shared" si="25"/>
        <v>172</v>
      </c>
      <c r="I180" s="15">
        <f t="shared" si="26"/>
        <v>216829</v>
      </c>
      <c r="J180" s="16">
        <f t="shared" si="29"/>
        <v>45630</v>
      </c>
      <c r="K180" s="15">
        <f t="shared" si="27"/>
        <v>171199</v>
      </c>
      <c r="L180" s="15">
        <f t="shared" si="28"/>
        <v>24717989</v>
      </c>
      <c r="O180" s="15"/>
      <c r="P180" s="16"/>
      <c r="Q180" s="15"/>
      <c r="R180" s="15"/>
    </row>
    <row r="181" spans="2:18" x14ac:dyDescent="0.55000000000000004">
      <c r="B181">
        <f t="shared" si="20"/>
        <v>173</v>
      </c>
      <c r="C181" s="15">
        <f t="shared" si="21"/>
        <v>272270</v>
      </c>
      <c r="D181" s="16">
        <f t="shared" si="22"/>
        <v>100020</v>
      </c>
      <c r="E181" s="15">
        <f t="shared" si="23"/>
        <v>172250</v>
      </c>
      <c r="F181" s="15">
        <f t="shared" si="24"/>
        <v>27740441</v>
      </c>
      <c r="H181">
        <f t="shared" si="25"/>
        <v>173</v>
      </c>
      <c r="I181" s="15">
        <f t="shared" si="26"/>
        <v>216829</v>
      </c>
      <c r="J181" s="16">
        <f t="shared" si="29"/>
        <v>45316</v>
      </c>
      <c r="K181" s="15">
        <f t="shared" si="27"/>
        <v>171513</v>
      </c>
      <c r="L181" s="15">
        <f t="shared" si="28"/>
        <v>24546476</v>
      </c>
      <c r="O181" s="15"/>
      <c r="P181" s="16"/>
      <c r="Q181" s="15"/>
      <c r="R181" s="15"/>
    </row>
    <row r="182" spans="2:18" x14ac:dyDescent="0.55000000000000004">
      <c r="B182">
        <f t="shared" si="20"/>
        <v>174</v>
      </c>
      <c r="C182" s="15">
        <f t="shared" si="21"/>
        <v>272270</v>
      </c>
      <c r="D182" s="16">
        <f t="shared" si="22"/>
        <v>99403</v>
      </c>
      <c r="E182" s="15">
        <f t="shared" si="23"/>
        <v>172867</v>
      </c>
      <c r="F182" s="15">
        <f t="shared" si="24"/>
        <v>27567574</v>
      </c>
      <c r="H182">
        <f t="shared" si="25"/>
        <v>174</v>
      </c>
      <c r="I182" s="15">
        <f t="shared" si="26"/>
        <v>216829</v>
      </c>
      <c r="J182" s="16">
        <f t="shared" si="29"/>
        <v>45001</v>
      </c>
      <c r="K182" s="15">
        <f t="shared" si="27"/>
        <v>171828</v>
      </c>
      <c r="L182" s="15">
        <f t="shared" si="28"/>
        <v>24374648</v>
      </c>
      <c r="O182" s="15"/>
      <c r="P182" s="16"/>
      <c r="Q182" s="15"/>
      <c r="R182" s="15"/>
    </row>
    <row r="183" spans="2:18" x14ac:dyDescent="0.55000000000000004">
      <c r="B183">
        <f t="shared" si="20"/>
        <v>175</v>
      </c>
      <c r="C183" s="15">
        <f t="shared" si="21"/>
        <v>272270</v>
      </c>
      <c r="D183" s="16">
        <f t="shared" si="22"/>
        <v>98783</v>
      </c>
      <c r="E183" s="15">
        <f t="shared" si="23"/>
        <v>173487</v>
      </c>
      <c r="F183" s="15">
        <f t="shared" si="24"/>
        <v>27394087</v>
      </c>
      <c r="H183">
        <f t="shared" si="25"/>
        <v>175</v>
      </c>
      <c r="I183" s="15">
        <f t="shared" si="26"/>
        <v>216829</v>
      </c>
      <c r="J183" s="16">
        <f t="shared" si="29"/>
        <v>44686</v>
      </c>
      <c r="K183" s="15">
        <f t="shared" si="27"/>
        <v>172143</v>
      </c>
      <c r="L183" s="15">
        <f t="shared" si="28"/>
        <v>24202505</v>
      </c>
      <c r="O183" s="15"/>
      <c r="P183" s="16"/>
      <c r="Q183" s="15"/>
      <c r="R183" s="15"/>
    </row>
    <row r="184" spans="2:18" x14ac:dyDescent="0.55000000000000004">
      <c r="B184">
        <f t="shared" si="20"/>
        <v>176</v>
      </c>
      <c r="C184" s="15">
        <f t="shared" si="21"/>
        <v>272270</v>
      </c>
      <c r="D184" s="16">
        <f t="shared" si="22"/>
        <v>98162</v>
      </c>
      <c r="E184" s="15">
        <f t="shared" si="23"/>
        <v>174108</v>
      </c>
      <c r="F184" s="15">
        <f t="shared" si="24"/>
        <v>27219979</v>
      </c>
      <c r="H184">
        <f t="shared" si="25"/>
        <v>176</v>
      </c>
      <c r="I184" s="15">
        <f t="shared" si="26"/>
        <v>216829</v>
      </c>
      <c r="J184" s="16">
        <f t="shared" si="29"/>
        <v>44371</v>
      </c>
      <c r="K184" s="15">
        <f t="shared" si="27"/>
        <v>172458</v>
      </c>
      <c r="L184" s="15">
        <f t="shared" si="28"/>
        <v>24030047</v>
      </c>
      <c r="O184" s="15"/>
      <c r="P184" s="16"/>
      <c r="Q184" s="15"/>
      <c r="R184" s="15"/>
    </row>
    <row r="185" spans="2:18" x14ac:dyDescent="0.55000000000000004">
      <c r="B185">
        <f t="shared" si="20"/>
        <v>177</v>
      </c>
      <c r="C185" s="15">
        <f t="shared" si="21"/>
        <v>272270</v>
      </c>
      <c r="D185" s="16">
        <f t="shared" si="22"/>
        <v>97538</v>
      </c>
      <c r="E185" s="15">
        <f t="shared" si="23"/>
        <v>174732</v>
      </c>
      <c r="F185" s="15">
        <f t="shared" si="24"/>
        <v>27045247</v>
      </c>
      <c r="H185">
        <f t="shared" si="25"/>
        <v>177</v>
      </c>
      <c r="I185" s="15">
        <f t="shared" si="26"/>
        <v>216829</v>
      </c>
      <c r="J185" s="16">
        <f t="shared" si="29"/>
        <v>44055</v>
      </c>
      <c r="K185" s="15">
        <f t="shared" si="27"/>
        <v>172774</v>
      </c>
      <c r="L185" s="15">
        <f t="shared" si="28"/>
        <v>23857273</v>
      </c>
      <c r="O185" s="15"/>
      <c r="P185" s="16"/>
      <c r="Q185" s="15"/>
      <c r="R185" s="15"/>
    </row>
    <row r="186" spans="2:18" x14ac:dyDescent="0.55000000000000004">
      <c r="B186">
        <f t="shared" si="20"/>
        <v>178</v>
      </c>
      <c r="C186" s="15">
        <f t="shared" si="21"/>
        <v>272270</v>
      </c>
      <c r="D186" s="16">
        <f t="shared" si="22"/>
        <v>96912</v>
      </c>
      <c r="E186" s="15">
        <f t="shared" si="23"/>
        <v>175358</v>
      </c>
      <c r="F186" s="15">
        <f t="shared" si="24"/>
        <v>26869889</v>
      </c>
      <c r="H186">
        <f t="shared" si="25"/>
        <v>178</v>
      </c>
      <c r="I186" s="15">
        <f t="shared" si="26"/>
        <v>216829</v>
      </c>
      <c r="J186" s="16">
        <f t="shared" si="29"/>
        <v>43738</v>
      </c>
      <c r="K186" s="15">
        <f t="shared" si="27"/>
        <v>173091</v>
      </c>
      <c r="L186" s="15">
        <f t="shared" si="28"/>
        <v>23684182</v>
      </c>
      <c r="O186" s="15"/>
      <c r="P186" s="16"/>
      <c r="Q186" s="15"/>
      <c r="R186" s="15"/>
    </row>
    <row r="187" spans="2:18" x14ac:dyDescent="0.55000000000000004">
      <c r="B187">
        <f t="shared" si="20"/>
        <v>179</v>
      </c>
      <c r="C187" s="15">
        <f t="shared" si="21"/>
        <v>272270</v>
      </c>
      <c r="D187" s="16">
        <f t="shared" si="22"/>
        <v>96283</v>
      </c>
      <c r="E187" s="15">
        <f t="shared" si="23"/>
        <v>175987</v>
      </c>
      <c r="F187" s="15">
        <f t="shared" si="24"/>
        <v>26693902</v>
      </c>
      <c r="H187">
        <f t="shared" si="25"/>
        <v>179</v>
      </c>
      <c r="I187" s="15">
        <f t="shared" si="26"/>
        <v>216829</v>
      </c>
      <c r="J187" s="16">
        <f t="shared" si="29"/>
        <v>43421</v>
      </c>
      <c r="K187" s="15">
        <f t="shared" si="27"/>
        <v>173408</v>
      </c>
      <c r="L187" s="15">
        <f t="shared" si="28"/>
        <v>23510774</v>
      </c>
      <c r="O187" s="15"/>
      <c r="P187" s="16"/>
      <c r="Q187" s="15"/>
      <c r="R187" s="15"/>
    </row>
    <row r="188" spans="2:18" x14ac:dyDescent="0.55000000000000004">
      <c r="B188">
        <f t="shared" si="20"/>
        <v>180</v>
      </c>
      <c r="C188" s="15">
        <f t="shared" si="21"/>
        <v>272270</v>
      </c>
      <c r="D188" s="16">
        <f t="shared" si="22"/>
        <v>95653</v>
      </c>
      <c r="E188" s="15">
        <f t="shared" si="23"/>
        <v>176617</v>
      </c>
      <c r="F188" s="15">
        <f t="shared" si="24"/>
        <v>26517285</v>
      </c>
      <c r="H188">
        <f t="shared" si="25"/>
        <v>180</v>
      </c>
      <c r="I188" s="15">
        <f t="shared" si="26"/>
        <v>216829</v>
      </c>
      <c r="J188" s="16">
        <f t="shared" si="29"/>
        <v>43103</v>
      </c>
      <c r="K188" s="15">
        <f t="shared" si="27"/>
        <v>173726</v>
      </c>
      <c r="L188" s="15">
        <f t="shared" si="28"/>
        <v>23337048</v>
      </c>
      <c r="O188" s="15"/>
      <c r="P188" s="16"/>
      <c r="Q188" s="15"/>
      <c r="R188" s="15"/>
    </row>
    <row r="189" spans="2:18" x14ac:dyDescent="0.55000000000000004">
      <c r="B189">
        <f t="shared" si="20"/>
        <v>181</v>
      </c>
      <c r="C189" s="15">
        <f t="shared" si="21"/>
        <v>272270</v>
      </c>
      <c r="D189" s="16">
        <f t="shared" si="22"/>
        <v>95020</v>
      </c>
      <c r="E189" s="15">
        <f t="shared" si="23"/>
        <v>177250</v>
      </c>
      <c r="F189" s="15">
        <f t="shared" si="24"/>
        <v>26340035</v>
      </c>
      <c r="H189">
        <f t="shared" si="25"/>
        <v>181</v>
      </c>
      <c r="I189" s="15">
        <f t="shared" si="26"/>
        <v>216829</v>
      </c>
      <c r="J189" s="16">
        <f t="shared" si="29"/>
        <v>42784</v>
      </c>
      <c r="K189" s="15">
        <f t="shared" si="27"/>
        <v>174045</v>
      </c>
      <c r="L189" s="15">
        <f t="shared" si="28"/>
        <v>23163003</v>
      </c>
      <c r="O189" s="15"/>
      <c r="P189" s="16"/>
      <c r="Q189" s="15"/>
      <c r="R189" s="15"/>
    </row>
    <row r="190" spans="2:18" x14ac:dyDescent="0.55000000000000004">
      <c r="B190">
        <f t="shared" si="20"/>
        <v>182</v>
      </c>
      <c r="C190" s="15">
        <f t="shared" si="21"/>
        <v>272270</v>
      </c>
      <c r="D190" s="16">
        <f t="shared" si="22"/>
        <v>94385</v>
      </c>
      <c r="E190" s="15">
        <f t="shared" si="23"/>
        <v>177885</v>
      </c>
      <c r="F190" s="15">
        <f t="shared" si="24"/>
        <v>26162150</v>
      </c>
      <c r="H190">
        <f t="shared" si="25"/>
        <v>182</v>
      </c>
      <c r="I190" s="15">
        <f t="shared" si="26"/>
        <v>216829</v>
      </c>
      <c r="J190" s="16">
        <f t="shared" si="29"/>
        <v>42465</v>
      </c>
      <c r="K190" s="15">
        <f t="shared" si="27"/>
        <v>174364</v>
      </c>
      <c r="L190" s="15">
        <f t="shared" si="28"/>
        <v>22988639</v>
      </c>
      <c r="O190" s="15"/>
      <c r="P190" s="16"/>
      <c r="Q190" s="15"/>
      <c r="R190" s="15"/>
    </row>
    <row r="191" spans="2:18" x14ac:dyDescent="0.55000000000000004">
      <c r="B191">
        <f t="shared" si="20"/>
        <v>183</v>
      </c>
      <c r="C191" s="15">
        <f t="shared" si="21"/>
        <v>272270</v>
      </c>
      <c r="D191" s="16">
        <f t="shared" si="22"/>
        <v>93747</v>
      </c>
      <c r="E191" s="15">
        <f t="shared" si="23"/>
        <v>178523</v>
      </c>
      <c r="F191" s="15">
        <f t="shared" si="24"/>
        <v>25983627</v>
      </c>
      <c r="H191">
        <f t="shared" si="25"/>
        <v>183</v>
      </c>
      <c r="I191" s="15">
        <f t="shared" si="26"/>
        <v>216829</v>
      </c>
      <c r="J191" s="16">
        <f t="shared" si="29"/>
        <v>42145</v>
      </c>
      <c r="K191" s="15">
        <f t="shared" si="27"/>
        <v>174684</v>
      </c>
      <c r="L191" s="15">
        <f t="shared" si="28"/>
        <v>22813955</v>
      </c>
      <c r="O191" s="15"/>
      <c r="P191" s="16"/>
      <c r="Q191" s="15"/>
      <c r="R191" s="15"/>
    </row>
    <row r="192" spans="2:18" x14ac:dyDescent="0.55000000000000004">
      <c r="B192">
        <f t="shared" si="20"/>
        <v>184</v>
      </c>
      <c r="C192" s="15">
        <f t="shared" si="21"/>
        <v>272270</v>
      </c>
      <c r="D192" s="16">
        <f t="shared" si="22"/>
        <v>93107</v>
      </c>
      <c r="E192" s="15">
        <f t="shared" si="23"/>
        <v>179163</v>
      </c>
      <c r="F192" s="15">
        <f t="shared" si="24"/>
        <v>25804464</v>
      </c>
      <c r="H192">
        <f t="shared" si="25"/>
        <v>184</v>
      </c>
      <c r="I192" s="15">
        <f t="shared" si="26"/>
        <v>216829</v>
      </c>
      <c r="J192" s="16">
        <f t="shared" si="29"/>
        <v>41825</v>
      </c>
      <c r="K192" s="15">
        <f t="shared" si="27"/>
        <v>175004</v>
      </c>
      <c r="L192" s="15">
        <f t="shared" si="28"/>
        <v>22638951</v>
      </c>
      <c r="O192" s="15"/>
      <c r="P192" s="16"/>
      <c r="Q192" s="15"/>
      <c r="R192" s="15"/>
    </row>
    <row r="193" spans="2:18" x14ac:dyDescent="0.55000000000000004">
      <c r="B193">
        <f t="shared" si="20"/>
        <v>185</v>
      </c>
      <c r="C193" s="15">
        <f t="shared" si="21"/>
        <v>272270</v>
      </c>
      <c r="D193" s="16">
        <f t="shared" si="22"/>
        <v>92465</v>
      </c>
      <c r="E193" s="15">
        <f t="shared" si="23"/>
        <v>179805</v>
      </c>
      <c r="F193" s="15">
        <f t="shared" si="24"/>
        <v>25624659</v>
      </c>
      <c r="H193">
        <f t="shared" si="25"/>
        <v>185</v>
      </c>
      <c r="I193" s="15">
        <f t="shared" si="26"/>
        <v>216829</v>
      </c>
      <c r="J193" s="16">
        <f t="shared" si="29"/>
        <v>41504</v>
      </c>
      <c r="K193" s="15">
        <f t="shared" si="27"/>
        <v>175325</v>
      </c>
      <c r="L193" s="15">
        <f t="shared" si="28"/>
        <v>22463626</v>
      </c>
      <c r="O193" s="15"/>
      <c r="P193" s="16"/>
      <c r="Q193" s="15"/>
      <c r="R193" s="15"/>
    </row>
    <row r="194" spans="2:18" x14ac:dyDescent="0.55000000000000004">
      <c r="B194">
        <f t="shared" si="20"/>
        <v>186</v>
      </c>
      <c r="C194" s="15">
        <f t="shared" si="21"/>
        <v>272270</v>
      </c>
      <c r="D194" s="16">
        <f t="shared" si="22"/>
        <v>91821</v>
      </c>
      <c r="E194" s="15">
        <f t="shared" si="23"/>
        <v>180449</v>
      </c>
      <c r="F194" s="15">
        <f t="shared" si="24"/>
        <v>25444210</v>
      </c>
      <c r="H194">
        <f t="shared" si="25"/>
        <v>186</v>
      </c>
      <c r="I194" s="15">
        <f t="shared" si="26"/>
        <v>216829</v>
      </c>
      <c r="J194" s="16">
        <f t="shared" si="29"/>
        <v>41183</v>
      </c>
      <c r="K194" s="15">
        <f t="shared" si="27"/>
        <v>175646</v>
      </c>
      <c r="L194" s="15">
        <f t="shared" si="28"/>
        <v>22287980</v>
      </c>
      <c r="O194" s="15"/>
      <c r="P194" s="16"/>
      <c r="Q194" s="15"/>
      <c r="R194" s="15"/>
    </row>
    <row r="195" spans="2:18" x14ac:dyDescent="0.55000000000000004">
      <c r="B195">
        <f t="shared" si="20"/>
        <v>187</v>
      </c>
      <c r="C195" s="15">
        <f t="shared" si="21"/>
        <v>272270</v>
      </c>
      <c r="D195" s="16">
        <f t="shared" si="22"/>
        <v>91175</v>
      </c>
      <c r="E195" s="15">
        <f t="shared" si="23"/>
        <v>181095</v>
      </c>
      <c r="F195" s="15">
        <f t="shared" si="24"/>
        <v>25263115</v>
      </c>
      <c r="H195">
        <f t="shared" si="25"/>
        <v>187</v>
      </c>
      <c r="I195" s="15">
        <f t="shared" si="26"/>
        <v>216829</v>
      </c>
      <c r="J195" s="16">
        <f t="shared" si="29"/>
        <v>40861</v>
      </c>
      <c r="K195" s="15">
        <f t="shared" si="27"/>
        <v>175968</v>
      </c>
      <c r="L195" s="15">
        <f t="shared" si="28"/>
        <v>22112012</v>
      </c>
      <c r="O195" s="15"/>
      <c r="P195" s="16"/>
      <c r="Q195" s="15"/>
      <c r="R195" s="15"/>
    </row>
    <row r="196" spans="2:18" x14ac:dyDescent="0.55000000000000004">
      <c r="B196">
        <f t="shared" si="20"/>
        <v>188</v>
      </c>
      <c r="C196" s="15">
        <f t="shared" si="21"/>
        <v>272270</v>
      </c>
      <c r="D196" s="16">
        <f t="shared" si="22"/>
        <v>90526</v>
      </c>
      <c r="E196" s="15">
        <f t="shared" si="23"/>
        <v>181744</v>
      </c>
      <c r="F196" s="15">
        <f t="shared" si="24"/>
        <v>25081371</v>
      </c>
      <c r="H196">
        <f t="shared" si="25"/>
        <v>188</v>
      </c>
      <c r="I196" s="15">
        <f t="shared" si="26"/>
        <v>216829</v>
      </c>
      <c r="J196" s="16">
        <f t="shared" si="29"/>
        <v>40538</v>
      </c>
      <c r="K196" s="15">
        <f t="shared" si="27"/>
        <v>176291</v>
      </c>
      <c r="L196" s="15">
        <f t="shared" si="28"/>
        <v>21935721</v>
      </c>
      <c r="O196" s="15"/>
      <c r="P196" s="16"/>
      <c r="Q196" s="15"/>
      <c r="R196" s="15"/>
    </row>
    <row r="197" spans="2:18" x14ac:dyDescent="0.55000000000000004">
      <c r="B197">
        <f t="shared" si="20"/>
        <v>189</v>
      </c>
      <c r="C197" s="15">
        <f t="shared" si="21"/>
        <v>272270</v>
      </c>
      <c r="D197" s="16">
        <f t="shared" si="22"/>
        <v>89874</v>
      </c>
      <c r="E197" s="15">
        <f t="shared" si="23"/>
        <v>182396</v>
      </c>
      <c r="F197" s="15">
        <f t="shared" si="24"/>
        <v>24898975</v>
      </c>
      <c r="H197">
        <f t="shared" si="25"/>
        <v>189</v>
      </c>
      <c r="I197" s="15">
        <f t="shared" si="26"/>
        <v>216829</v>
      </c>
      <c r="J197" s="16">
        <f t="shared" si="29"/>
        <v>40215</v>
      </c>
      <c r="K197" s="15">
        <f t="shared" si="27"/>
        <v>176614</v>
      </c>
      <c r="L197" s="15">
        <f t="shared" si="28"/>
        <v>21759107</v>
      </c>
      <c r="O197" s="15"/>
      <c r="P197" s="16"/>
      <c r="Q197" s="15"/>
      <c r="R197" s="15"/>
    </row>
    <row r="198" spans="2:18" x14ac:dyDescent="0.55000000000000004">
      <c r="B198">
        <f t="shared" si="20"/>
        <v>190</v>
      </c>
      <c r="C198" s="15">
        <f t="shared" si="21"/>
        <v>272270</v>
      </c>
      <c r="D198" s="16">
        <f t="shared" si="22"/>
        <v>89221</v>
      </c>
      <c r="E198" s="15">
        <f t="shared" si="23"/>
        <v>183049</v>
      </c>
      <c r="F198" s="15">
        <f t="shared" si="24"/>
        <v>24715926</v>
      </c>
      <c r="H198">
        <f t="shared" si="25"/>
        <v>190</v>
      </c>
      <c r="I198" s="15">
        <f t="shared" si="26"/>
        <v>216829</v>
      </c>
      <c r="J198" s="16">
        <f t="shared" si="29"/>
        <v>39891</v>
      </c>
      <c r="K198" s="15">
        <f t="shared" si="27"/>
        <v>176938</v>
      </c>
      <c r="L198" s="15">
        <f t="shared" si="28"/>
        <v>21582169</v>
      </c>
      <c r="O198" s="15"/>
      <c r="P198" s="16"/>
      <c r="Q198" s="15"/>
      <c r="R198" s="15"/>
    </row>
    <row r="199" spans="2:18" x14ac:dyDescent="0.55000000000000004">
      <c r="B199">
        <f t="shared" si="20"/>
        <v>191</v>
      </c>
      <c r="C199" s="15">
        <f t="shared" si="21"/>
        <v>272270</v>
      </c>
      <c r="D199" s="16">
        <f t="shared" si="22"/>
        <v>88565</v>
      </c>
      <c r="E199" s="15">
        <f t="shared" si="23"/>
        <v>183705</v>
      </c>
      <c r="F199" s="15">
        <f t="shared" si="24"/>
        <v>24532221</v>
      </c>
      <c r="H199">
        <f t="shared" si="25"/>
        <v>191</v>
      </c>
      <c r="I199" s="15">
        <f t="shared" si="26"/>
        <v>216829</v>
      </c>
      <c r="J199" s="16">
        <f t="shared" si="29"/>
        <v>39567</v>
      </c>
      <c r="K199" s="15">
        <f t="shared" si="27"/>
        <v>177262</v>
      </c>
      <c r="L199" s="15">
        <f t="shared" si="28"/>
        <v>21404907</v>
      </c>
      <c r="O199" s="15"/>
      <c r="P199" s="16"/>
      <c r="Q199" s="15"/>
      <c r="R199" s="15"/>
    </row>
    <row r="200" spans="2:18" x14ac:dyDescent="0.55000000000000004">
      <c r="B200">
        <f t="shared" si="20"/>
        <v>192</v>
      </c>
      <c r="C200" s="15">
        <f t="shared" si="21"/>
        <v>272270</v>
      </c>
      <c r="D200" s="16">
        <f t="shared" si="22"/>
        <v>87907</v>
      </c>
      <c r="E200" s="15">
        <f t="shared" si="23"/>
        <v>184363</v>
      </c>
      <c r="F200" s="15">
        <f t="shared" si="24"/>
        <v>24347858</v>
      </c>
      <c r="H200">
        <f t="shared" si="25"/>
        <v>192</v>
      </c>
      <c r="I200" s="15">
        <f t="shared" si="26"/>
        <v>216829</v>
      </c>
      <c r="J200" s="16">
        <f t="shared" si="29"/>
        <v>39242</v>
      </c>
      <c r="K200" s="15">
        <f t="shared" si="27"/>
        <v>177587</v>
      </c>
      <c r="L200" s="15">
        <f t="shared" si="28"/>
        <v>21227320</v>
      </c>
      <c r="O200" s="15"/>
      <c r="P200" s="16"/>
      <c r="Q200" s="15"/>
      <c r="R200" s="15"/>
    </row>
    <row r="201" spans="2:18" x14ac:dyDescent="0.55000000000000004">
      <c r="B201">
        <f t="shared" si="20"/>
        <v>193</v>
      </c>
      <c r="C201" s="15">
        <f t="shared" si="21"/>
        <v>272270</v>
      </c>
      <c r="D201" s="16">
        <f t="shared" si="22"/>
        <v>87246</v>
      </c>
      <c r="E201" s="15">
        <f t="shared" si="23"/>
        <v>185024</v>
      </c>
      <c r="F201" s="15">
        <f t="shared" si="24"/>
        <v>24162834</v>
      </c>
      <c r="H201">
        <f t="shared" si="25"/>
        <v>193</v>
      </c>
      <c r="I201" s="15">
        <f t="shared" si="26"/>
        <v>216829</v>
      </c>
      <c r="J201" s="16">
        <f t="shared" si="29"/>
        <v>38916</v>
      </c>
      <c r="K201" s="15">
        <f t="shared" si="27"/>
        <v>177913</v>
      </c>
      <c r="L201" s="15">
        <f t="shared" si="28"/>
        <v>21049407</v>
      </c>
      <c r="O201" s="15"/>
      <c r="P201" s="16"/>
      <c r="Q201" s="15"/>
      <c r="R201" s="15"/>
    </row>
    <row r="202" spans="2:18" x14ac:dyDescent="0.55000000000000004">
      <c r="B202">
        <f t="shared" si="20"/>
        <v>194</v>
      </c>
      <c r="C202" s="15">
        <f t="shared" si="21"/>
        <v>272270</v>
      </c>
      <c r="D202" s="16">
        <f t="shared" si="22"/>
        <v>86583</v>
      </c>
      <c r="E202" s="15">
        <f t="shared" si="23"/>
        <v>185687</v>
      </c>
      <c r="F202" s="15">
        <f t="shared" si="24"/>
        <v>23977147</v>
      </c>
      <c r="H202">
        <f t="shared" si="25"/>
        <v>194</v>
      </c>
      <c r="I202" s="15">
        <f t="shared" si="26"/>
        <v>216829</v>
      </c>
      <c r="J202" s="16">
        <f t="shared" si="29"/>
        <v>38590</v>
      </c>
      <c r="K202" s="15">
        <f t="shared" si="27"/>
        <v>178239</v>
      </c>
      <c r="L202" s="15">
        <f t="shared" si="28"/>
        <v>20871168</v>
      </c>
      <c r="O202" s="15"/>
      <c r="P202" s="16"/>
      <c r="Q202" s="15"/>
      <c r="R202" s="15"/>
    </row>
    <row r="203" spans="2:18" x14ac:dyDescent="0.55000000000000004">
      <c r="B203">
        <f t="shared" ref="B203:B266" si="30">B202+1</f>
        <v>195</v>
      </c>
      <c r="C203" s="15">
        <f t="shared" ref="C203:C266" si="31">C202</f>
        <v>272270</v>
      </c>
      <c r="D203" s="16">
        <f t="shared" ref="D203:D266" si="32">INT(F202*$D$3/12)</f>
        <v>85918</v>
      </c>
      <c r="E203" s="15">
        <f t="shared" ref="E203:E266" si="33">C203-D203</f>
        <v>186352</v>
      </c>
      <c r="F203" s="15">
        <f t="shared" ref="F203:F266" si="34">F202-E203</f>
        <v>23790795</v>
      </c>
      <c r="H203">
        <f t="shared" ref="H203:H266" si="35">H202+1</f>
        <v>195</v>
      </c>
      <c r="I203" s="15">
        <f t="shared" ref="I203:I266" si="36">I202</f>
        <v>216829</v>
      </c>
      <c r="J203" s="16">
        <f t="shared" si="29"/>
        <v>38263</v>
      </c>
      <c r="K203" s="15">
        <f t="shared" ref="K203:K266" si="37">I203-J203</f>
        <v>178566</v>
      </c>
      <c r="L203" s="15">
        <f t="shared" ref="L203:L266" si="38">L202-K203</f>
        <v>20692602</v>
      </c>
      <c r="O203" s="15"/>
      <c r="P203" s="16"/>
      <c r="Q203" s="15"/>
      <c r="R203" s="15"/>
    </row>
    <row r="204" spans="2:18" x14ac:dyDescent="0.55000000000000004">
      <c r="B204">
        <f t="shared" si="30"/>
        <v>196</v>
      </c>
      <c r="C204" s="15">
        <f t="shared" si="31"/>
        <v>272270</v>
      </c>
      <c r="D204" s="16">
        <f t="shared" si="32"/>
        <v>85250</v>
      </c>
      <c r="E204" s="15">
        <f t="shared" si="33"/>
        <v>187020</v>
      </c>
      <c r="F204" s="15">
        <f t="shared" si="34"/>
        <v>23603775</v>
      </c>
      <c r="H204">
        <f t="shared" si="35"/>
        <v>196</v>
      </c>
      <c r="I204" s="15">
        <f t="shared" si="36"/>
        <v>216829</v>
      </c>
      <c r="J204" s="16">
        <f t="shared" ref="J204:J267" si="39">INT(L203*$J$3/12)</f>
        <v>37936</v>
      </c>
      <c r="K204" s="15">
        <f t="shared" si="37"/>
        <v>178893</v>
      </c>
      <c r="L204" s="15">
        <f t="shared" si="38"/>
        <v>20513709</v>
      </c>
      <c r="O204" s="15"/>
      <c r="P204" s="16"/>
      <c r="Q204" s="15"/>
      <c r="R204" s="15"/>
    </row>
    <row r="205" spans="2:18" x14ac:dyDescent="0.55000000000000004">
      <c r="B205">
        <f t="shared" si="30"/>
        <v>197</v>
      </c>
      <c r="C205" s="15">
        <f t="shared" si="31"/>
        <v>272270</v>
      </c>
      <c r="D205" s="16">
        <f t="shared" si="32"/>
        <v>84580</v>
      </c>
      <c r="E205" s="15">
        <f t="shared" si="33"/>
        <v>187690</v>
      </c>
      <c r="F205" s="15">
        <f t="shared" si="34"/>
        <v>23416085</v>
      </c>
      <c r="H205">
        <f t="shared" si="35"/>
        <v>197</v>
      </c>
      <c r="I205" s="15">
        <f t="shared" si="36"/>
        <v>216829</v>
      </c>
      <c r="J205" s="16">
        <f t="shared" si="39"/>
        <v>37608</v>
      </c>
      <c r="K205" s="15">
        <f t="shared" si="37"/>
        <v>179221</v>
      </c>
      <c r="L205" s="15">
        <f t="shared" si="38"/>
        <v>20334488</v>
      </c>
      <c r="O205" s="15"/>
      <c r="P205" s="16"/>
      <c r="Q205" s="15"/>
      <c r="R205" s="15"/>
    </row>
    <row r="206" spans="2:18" x14ac:dyDescent="0.55000000000000004">
      <c r="B206">
        <f t="shared" si="30"/>
        <v>198</v>
      </c>
      <c r="C206" s="15">
        <f t="shared" si="31"/>
        <v>272270</v>
      </c>
      <c r="D206" s="16">
        <f t="shared" si="32"/>
        <v>83907</v>
      </c>
      <c r="E206" s="15">
        <f t="shared" si="33"/>
        <v>188363</v>
      </c>
      <c r="F206" s="15">
        <f t="shared" si="34"/>
        <v>23227722</v>
      </c>
      <c r="H206">
        <f t="shared" si="35"/>
        <v>198</v>
      </c>
      <c r="I206" s="15">
        <f t="shared" si="36"/>
        <v>216829</v>
      </c>
      <c r="J206" s="16">
        <f t="shared" si="39"/>
        <v>37279</v>
      </c>
      <c r="K206" s="15">
        <f t="shared" si="37"/>
        <v>179550</v>
      </c>
      <c r="L206" s="15">
        <f t="shared" si="38"/>
        <v>20154938</v>
      </c>
      <c r="O206" s="15"/>
      <c r="P206" s="16"/>
      <c r="Q206" s="15"/>
      <c r="R206" s="15"/>
    </row>
    <row r="207" spans="2:18" x14ac:dyDescent="0.55000000000000004">
      <c r="B207">
        <f t="shared" si="30"/>
        <v>199</v>
      </c>
      <c r="C207" s="15">
        <f t="shared" si="31"/>
        <v>272270</v>
      </c>
      <c r="D207" s="16">
        <f t="shared" si="32"/>
        <v>83232</v>
      </c>
      <c r="E207" s="15">
        <f t="shared" si="33"/>
        <v>189038</v>
      </c>
      <c r="F207" s="15">
        <f t="shared" si="34"/>
        <v>23038684</v>
      </c>
      <c r="H207">
        <f t="shared" si="35"/>
        <v>199</v>
      </c>
      <c r="I207" s="15">
        <f t="shared" si="36"/>
        <v>216829</v>
      </c>
      <c r="J207" s="16">
        <f t="shared" si="39"/>
        <v>36950</v>
      </c>
      <c r="K207" s="15">
        <f t="shared" si="37"/>
        <v>179879</v>
      </c>
      <c r="L207" s="15">
        <f t="shared" si="38"/>
        <v>19975059</v>
      </c>
      <c r="O207" s="15"/>
      <c r="P207" s="16"/>
      <c r="Q207" s="15"/>
      <c r="R207" s="15"/>
    </row>
    <row r="208" spans="2:18" x14ac:dyDescent="0.55000000000000004">
      <c r="B208">
        <f t="shared" si="30"/>
        <v>200</v>
      </c>
      <c r="C208" s="15">
        <f t="shared" si="31"/>
        <v>272270</v>
      </c>
      <c r="D208" s="16">
        <f t="shared" si="32"/>
        <v>82555</v>
      </c>
      <c r="E208" s="15">
        <f t="shared" si="33"/>
        <v>189715</v>
      </c>
      <c r="F208" s="15">
        <f t="shared" si="34"/>
        <v>22848969</v>
      </c>
      <c r="H208">
        <f t="shared" si="35"/>
        <v>200</v>
      </c>
      <c r="I208" s="15">
        <f t="shared" si="36"/>
        <v>216829</v>
      </c>
      <c r="J208" s="16">
        <f t="shared" si="39"/>
        <v>36620</v>
      </c>
      <c r="K208" s="15">
        <f t="shared" si="37"/>
        <v>180209</v>
      </c>
      <c r="L208" s="15">
        <f t="shared" si="38"/>
        <v>19794850</v>
      </c>
      <c r="O208" s="15"/>
      <c r="P208" s="16"/>
      <c r="Q208" s="15"/>
      <c r="R208" s="15"/>
    </row>
    <row r="209" spans="2:18" x14ac:dyDescent="0.55000000000000004">
      <c r="B209">
        <f t="shared" si="30"/>
        <v>201</v>
      </c>
      <c r="C209" s="15">
        <f t="shared" si="31"/>
        <v>272270</v>
      </c>
      <c r="D209" s="16">
        <f t="shared" si="32"/>
        <v>81875</v>
      </c>
      <c r="E209" s="15">
        <f t="shared" si="33"/>
        <v>190395</v>
      </c>
      <c r="F209" s="15">
        <f t="shared" si="34"/>
        <v>22658574</v>
      </c>
      <c r="H209">
        <f t="shared" si="35"/>
        <v>201</v>
      </c>
      <c r="I209" s="15">
        <f t="shared" si="36"/>
        <v>216829</v>
      </c>
      <c r="J209" s="16">
        <f t="shared" si="39"/>
        <v>36290</v>
      </c>
      <c r="K209" s="15">
        <f t="shared" si="37"/>
        <v>180539</v>
      </c>
      <c r="L209" s="15">
        <f t="shared" si="38"/>
        <v>19614311</v>
      </c>
      <c r="O209" s="15"/>
      <c r="P209" s="16"/>
      <c r="Q209" s="15"/>
      <c r="R209" s="15"/>
    </row>
    <row r="210" spans="2:18" x14ac:dyDescent="0.55000000000000004">
      <c r="B210">
        <f t="shared" si="30"/>
        <v>202</v>
      </c>
      <c r="C210" s="15">
        <f t="shared" si="31"/>
        <v>272270</v>
      </c>
      <c r="D210" s="16">
        <f t="shared" si="32"/>
        <v>81193</v>
      </c>
      <c r="E210" s="15">
        <f t="shared" si="33"/>
        <v>191077</v>
      </c>
      <c r="F210" s="15">
        <f t="shared" si="34"/>
        <v>22467497</v>
      </c>
      <c r="H210">
        <f t="shared" si="35"/>
        <v>202</v>
      </c>
      <c r="I210" s="15">
        <f t="shared" si="36"/>
        <v>216829</v>
      </c>
      <c r="J210" s="16">
        <f t="shared" si="39"/>
        <v>35959</v>
      </c>
      <c r="K210" s="15">
        <f t="shared" si="37"/>
        <v>180870</v>
      </c>
      <c r="L210" s="15">
        <f t="shared" si="38"/>
        <v>19433441</v>
      </c>
      <c r="O210" s="15"/>
      <c r="P210" s="16"/>
      <c r="Q210" s="15"/>
      <c r="R210" s="15"/>
    </row>
    <row r="211" spans="2:18" x14ac:dyDescent="0.55000000000000004">
      <c r="B211">
        <f t="shared" si="30"/>
        <v>203</v>
      </c>
      <c r="C211" s="15">
        <f t="shared" si="31"/>
        <v>272270</v>
      </c>
      <c r="D211" s="16">
        <f t="shared" si="32"/>
        <v>80508</v>
      </c>
      <c r="E211" s="15">
        <f t="shared" si="33"/>
        <v>191762</v>
      </c>
      <c r="F211" s="15">
        <f t="shared" si="34"/>
        <v>22275735</v>
      </c>
      <c r="H211">
        <f t="shared" si="35"/>
        <v>203</v>
      </c>
      <c r="I211" s="15">
        <f t="shared" si="36"/>
        <v>216829</v>
      </c>
      <c r="J211" s="16">
        <f t="shared" si="39"/>
        <v>35627</v>
      </c>
      <c r="K211" s="15">
        <f t="shared" si="37"/>
        <v>181202</v>
      </c>
      <c r="L211" s="15">
        <f t="shared" si="38"/>
        <v>19252239</v>
      </c>
      <c r="O211" s="15"/>
      <c r="P211" s="16"/>
      <c r="Q211" s="15"/>
      <c r="R211" s="15"/>
    </row>
    <row r="212" spans="2:18" x14ac:dyDescent="0.55000000000000004">
      <c r="B212">
        <f t="shared" si="30"/>
        <v>204</v>
      </c>
      <c r="C212" s="15">
        <f t="shared" si="31"/>
        <v>272270</v>
      </c>
      <c r="D212" s="16">
        <f t="shared" si="32"/>
        <v>79821</v>
      </c>
      <c r="E212" s="15">
        <f t="shared" si="33"/>
        <v>192449</v>
      </c>
      <c r="F212" s="15">
        <f t="shared" si="34"/>
        <v>22083286</v>
      </c>
      <c r="H212">
        <f t="shared" si="35"/>
        <v>204</v>
      </c>
      <c r="I212" s="15">
        <f t="shared" si="36"/>
        <v>216829</v>
      </c>
      <c r="J212" s="16">
        <f t="shared" si="39"/>
        <v>35295</v>
      </c>
      <c r="K212" s="15">
        <f t="shared" si="37"/>
        <v>181534</v>
      </c>
      <c r="L212" s="15">
        <f t="shared" si="38"/>
        <v>19070705</v>
      </c>
      <c r="O212" s="15"/>
      <c r="P212" s="16"/>
      <c r="Q212" s="15"/>
      <c r="R212" s="15"/>
    </row>
    <row r="213" spans="2:18" x14ac:dyDescent="0.55000000000000004">
      <c r="B213">
        <f t="shared" si="30"/>
        <v>205</v>
      </c>
      <c r="C213" s="15">
        <f t="shared" si="31"/>
        <v>272270</v>
      </c>
      <c r="D213" s="16">
        <f t="shared" si="32"/>
        <v>79131</v>
      </c>
      <c r="E213" s="15">
        <f t="shared" si="33"/>
        <v>193139</v>
      </c>
      <c r="F213" s="15">
        <f t="shared" si="34"/>
        <v>21890147</v>
      </c>
      <c r="H213">
        <f t="shared" si="35"/>
        <v>205</v>
      </c>
      <c r="I213" s="15">
        <f t="shared" si="36"/>
        <v>216829</v>
      </c>
      <c r="J213" s="16">
        <f t="shared" si="39"/>
        <v>34962</v>
      </c>
      <c r="K213" s="15">
        <f t="shared" si="37"/>
        <v>181867</v>
      </c>
      <c r="L213" s="15">
        <f t="shared" si="38"/>
        <v>18888838</v>
      </c>
      <c r="O213" s="15"/>
      <c r="P213" s="16"/>
      <c r="Q213" s="15"/>
      <c r="R213" s="15"/>
    </row>
    <row r="214" spans="2:18" x14ac:dyDescent="0.55000000000000004">
      <c r="B214">
        <f t="shared" si="30"/>
        <v>206</v>
      </c>
      <c r="C214" s="15">
        <f t="shared" si="31"/>
        <v>272270</v>
      </c>
      <c r="D214" s="16">
        <f t="shared" si="32"/>
        <v>78439</v>
      </c>
      <c r="E214" s="15">
        <f t="shared" si="33"/>
        <v>193831</v>
      </c>
      <c r="F214" s="15">
        <f t="shared" si="34"/>
        <v>21696316</v>
      </c>
      <c r="H214">
        <f t="shared" si="35"/>
        <v>206</v>
      </c>
      <c r="I214" s="15">
        <f t="shared" si="36"/>
        <v>216829</v>
      </c>
      <c r="J214" s="16">
        <f t="shared" si="39"/>
        <v>34629</v>
      </c>
      <c r="K214" s="15">
        <f t="shared" si="37"/>
        <v>182200</v>
      </c>
      <c r="L214" s="15">
        <f t="shared" si="38"/>
        <v>18706638</v>
      </c>
      <c r="O214" s="15"/>
      <c r="P214" s="16"/>
      <c r="Q214" s="15"/>
      <c r="R214" s="15"/>
    </row>
    <row r="215" spans="2:18" x14ac:dyDescent="0.55000000000000004">
      <c r="B215">
        <f t="shared" si="30"/>
        <v>207</v>
      </c>
      <c r="C215" s="15">
        <f t="shared" si="31"/>
        <v>272270</v>
      </c>
      <c r="D215" s="16">
        <f t="shared" si="32"/>
        <v>77745</v>
      </c>
      <c r="E215" s="15">
        <f t="shared" si="33"/>
        <v>194525</v>
      </c>
      <c r="F215" s="15">
        <f t="shared" si="34"/>
        <v>21501791</v>
      </c>
      <c r="H215">
        <f t="shared" si="35"/>
        <v>207</v>
      </c>
      <c r="I215" s="15">
        <f t="shared" si="36"/>
        <v>216829</v>
      </c>
      <c r="J215" s="16">
        <f t="shared" si="39"/>
        <v>34295</v>
      </c>
      <c r="K215" s="15">
        <f t="shared" si="37"/>
        <v>182534</v>
      </c>
      <c r="L215" s="15">
        <f t="shared" si="38"/>
        <v>18524104</v>
      </c>
      <c r="O215" s="15"/>
      <c r="P215" s="16"/>
      <c r="Q215" s="15"/>
      <c r="R215" s="15"/>
    </row>
    <row r="216" spans="2:18" x14ac:dyDescent="0.55000000000000004">
      <c r="B216">
        <f t="shared" si="30"/>
        <v>208</v>
      </c>
      <c r="C216" s="15">
        <f t="shared" si="31"/>
        <v>272270</v>
      </c>
      <c r="D216" s="16">
        <f t="shared" si="32"/>
        <v>77048</v>
      </c>
      <c r="E216" s="15">
        <f t="shared" si="33"/>
        <v>195222</v>
      </c>
      <c r="F216" s="15">
        <f t="shared" si="34"/>
        <v>21306569</v>
      </c>
      <c r="H216">
        <f t="shared" si="35"/>
        <v>208</v>
      </c>
      <c r="I216" s="15">
        <f t="shared" si="36"/>
        <v>216829</v>
      </c>
      <c r="J216" s="16">
        <f t="shared" si="39"/>
        <v>33960</v>
      </c>
      <c r="K216" s="15">
        <f t="shared" si="37"/>
        <v>182869</v>
      </c>
      <c r="L216" s="15">
        <f t="shared" si="38"/>
        <v>18341235</v>
      </c>
      <c r="O216" s="15"/>
      <c r="P216" s="16"/>
      <c r="Q216" s="15"/>
      <c r="R216" s="15"/>
    </row>
    <row r="217" spans="2:18" x14ac:dyDescent="0.55000000000000004">
      <c r="B217">
        <f t="shared" si="30"/>
        <v>209</v>
      </c>
      <c r="C217" s="15">
        <f t="shared" si="31"/>
        <v>272270</v>
      </c>
      <c r="D217" s="16">
        <f t="shared" si="32"/>
        <v>76348</v>
      </c>
      <c r="E217" s="15">
        <f t="shared" si="33"/>
        <v>195922</v>
      </c>
      <c r="F217" s="15">
        <f t="shared" si="34"/>
        <v>21110647</v>
      </c>
      <c r="H217">
        <f t="shared" si="35"/>
        <v>209</v>
      </c>
      <c r="I217" s="15">
        <f t="shared" si="36"/>
        <v>216829</v>
      </c>
      <c r="J217" s="16">
        <f t="shared" si="39"/>
        <v>33625</v>
      </c>
      <c r="K217" s="15">
        <f t="shared" si="37"/>
        <v>183204</v>
      </c>
      <c r="L217" s="15">
        <f t="shared" si="38"/>
        <v>18158031</v>
      </c>
      <c r="O217" s="15"/>
      <c r="P217" s="16"/>
      <c r="Q217" s="15"/>
      <c r="R217" s="15"/>
    </row>
    <row r="218" spans="2:18" x14ac:dyDescent="0.55000000000000004">
      <c r="B218">
        <f t="shared" si="30"/>
        <v>210</v>
      </c>
      <c r="C218" s="15">
        <f t="shared" si="31"/>
        <v>272270</v>
      </c>
      <c r="D218" s="16">
        <f t="shared" si="32"/>
        <v>75646</v>
      </c>
      <c r="E218" s="15">
        <f t="shared" si="33"/>
        <v>196624</v>
      </c>
      <c r="F218" s="15">
        <f t="shared" si="34"/>
        <v>20914023</v>
      </c>
      <c r="H218">
        <f t="shared" si="35"/>
        <v>210</v>
      </c>
      <c r="I218" s="15">
        <f t="shared" si="36"/>
        <v>216829</v>
      </c>
      <c r="J218" s="16">
        <f t="shared" si="39"/>
        <v>33289</v>
      </c>
      <c r="K218" s="15">
        <f t="shared" si="37"/>
        <v>183540</v>
      </c>
      <c r="L218" s="15">
        <f t="shared" si="38"/>
        <v>17974491</v>
      </c>
      <c r="O218" s="15"/>
      <c r="P218" s="16"/>
      <c r="Q218" s="15"/>
      <c r="R218" s="15"/>
    </row>
    <row r="219" spans="2:18" x14ac:dyDescent="0.55000000000000004">
      <c r="B219">
        <f t="shared" si="30"/>
        <v>211</v>
      </c>
      <c r="C219" s="15">
        <f t="shared" si="31"/>
        <v>272270</v>
      </c>
      <c r="D219" s="16">
        <f t="shared" si="32"/>
        <v>74941</v>
      </c>
      <c r="E219" s="15">
        <f t="shared" si="33"/>
        <v>197329</v>
      </c>
      <c r="F219" s="15">
        <f t="shared" si="34"/>
        <v>20716694</v>
      </c>
      <c r="H219">
        <f t="shared" si="35"/>
        <v>211</v>
      </c>
      <c r="I219" s="15">
        <f t="shared" si="36"/>
        <v>216829</v>
      </c>
      <c r="J219" s="16">
        <f t="shared" si="39"/>
        <v>32953</v>
      </c>
      <c r="K219" s="15">
        <f t="shared" si="37"/>
        <v>183876</v>
      </c>
      <c r="L219" s="15">
        <f t="shared" si="38"/>
        <v>17790615</v>
      </c>
      <c r="O219" s="15"/>
      <c r="P219" s="16"/>
      <c r="Q219" s="15"/>
      <c r="R219" s="15"/>
    </row>
    <row r="220" spans="2:18" x14ac:dyDescent="0.55000000000000004">
      <c r="B220">
        <f t="shared" si="30"/>
        <v>212</v>
      </c>
      <c r="C220" s="15">
        <f t="shared" si="31"/>
        <v>272270</v>
      </c>
      <c r="D220" s="16">
        <f t="shared" si="32"/>
        <v>74234</v>
      </c>
      <c r="E220" s="15">
        <f t="shared" si="33"/>
        <v>198036</v>
      </c>
      <c r="F220" s="15">
        <f t="shared" si="34"/>
        <v>20518658</v>
      </c>
      <c r="H220">
        <f t="shared" si="35"/>
        <v>212</v>
      </c>
      <c r="I220" s="15">
        <f t="shared" si="36"/>
        <v>216829</v>
      </c>
      <c r="J220" s="16">
        <f t="shared" si="39"/>
        <v>32616</v>
      </c>
      <c r="K220" s="15">
        <f t="shared" si="37"/>
        <v>184213</v>
      </c>
      <c r="L220" s="15">
        <f t="shared" si="38"/>
        <v>17606402</v>
      </c>
      <c r="O220" s="15"/>
      <c r="P220" s="16"/>
      <c r="Q220" s="15"/>
      <c r="R220" s="15"/>
    </row>
    <row r="221" spans="2:18" x14ac:dyDescent="0.55000000000000004">
      <c r="B221">
        <f t="shared" si="30"/>
        <v>213</v>
      </c>
      <c r="C221" s="15">
        <f t="shared" si="31"/>
        <v>272270</v>
      </c>
      <c r="D221" s="16">
        <f t="shared" si="32"/>
        <v>73525</v>
      </c>
      <c r="E221" s="15">
        <f t="shared" si="33"/>
        <v>198745</v>
      </c>
      <c r="F221" s="15">
        <f t="shared" si="34"/>
        <v>20319913</v>
      </c>
      <c r="H221">
        <f t="shared" si="35"/>
        <v>213</v>
      </c>
      <c r="I221" s="15">
        <f t="shared" si="36"/>
        <v>216829</v>
      </c>
      <c r="J221" s="16">
        <f t="shared" si="39"/>
        <v>32278</v>
      </c>
      <c r="K221" s="15">
        <f t="shared" si="37"/>
        <v>184551</v>
      </c>
      <c r="L221" s="15">
        <f t="shared" si="38"/>
        <v>17421851</v>
      </c>
      <c r="O221" s="15"/>
      <c r="P221" s="16"/>
      <c r="Q221" s="15"/>
      <c r="R221" s="15"/>
    </row>
    <row r="222" spans="2:18" x14ac:dyDescent="0.55000000000000004">
      <c r="B222">
        <f t="shared" si="30"/>
        <v>214</v>
      </c>
      <c r="C222" s="15">
        <f t="shared" si="31"/>
        <v>272270</v>
      </c>
      <c r="D222" s="16">
        <f t="shared" si="32"/>
        <v>72813</v>
      </c>
      <c r="E222" s="15">
        <f t="shared" si="33"/>
        <v>199457</v>
      </c>
      <c r="F222" s="15">
        <f t="shared" si="34"/>
        <v>20120456</v>
      </c>
      <c r="H222">
        <f t="shared" si="35"/>
        <v>214</v>
      </c>
      <c r="I222" s="15">
        <f t="shared" si="36"/>
        <v>216829</v>
      </c>
      <c r="J222" s="16">
        <f t="shared" si="39"/>
        <v>31940</v>
      </c>
      <c r="K222" s="15">
        <f t="shared" si="37"/>
        <v>184889</v>
      </c>
      <c r="L222" s="15">
        <f t="shared" si="38"/>
        <v>17236962</v>
      </c>
      <c r="O222" s="15"/>
      <c r="P222" s="16"/>
      <c r="Q222" s="15"/>
      <c r="R222" s="15"/>
    </row>
    <row r="223" spans="2:18" x14ac:dyDescent="0.55000000000000004">
      <c r="B223">
        <f t="shared" si="30"/>
        <v>215</v>
      </c>
      <c r="C223" s="15">
        <f t="shared" si="31"/>
        <v>272270</v>
      </c>
      <c r="D223" s="16">
        <f t="shared" si="32"/>
        <v>72098</v>
      </c>
      <c r="E223" s="15">
        <f t="shared" si="33"/>
        <v>200172</v>
      </c>
      <c r="F223" s="15">
        <f t="shared" si="34"/>
        <v>19920284</v>
      </c>
      <c r="H223">
        <f t="shared" si="35"/>
        <v>215</v>
      </c>
      <c r="I223" s="15">
        <f t="shared" si="36"/>
        <v>216829</v>
      </c>
      <c r="J223" s="16">
        <f t="shared" si="39"/>
        <v>31601</v>
      </c>
      <c r="K223" s="15">
        <f t="shared" si="37"/>
        <v>185228</v>
      </c>
      <c r="L223" s="15">
        <f t="shared" si="38"/>
        <v>17051734</v>
      </c>
      <c r="O223" s="15"/>
      <c r="P223" s="16"/>
      <c r="Q223" s="15"/>
      <c r="R223" s="15"/>
    </row>
    <row r="224" spans="2:18" x14ac:dyDescent="0.55000000000000004">
      <c r="B224">
        <f t="shared" si="30"/>
        <v>216</v>
      </c>
      <c r="C224" s="15">
        <f t="shared" si="31"/>
        <v>272270</v>
      </c>
      <c r="D224" s="16">
        <f t="shared" si="32"/>
        <v>71381</v>
      </c>
      <c r="E224" s="15">
        <f t="shared" si="33"/>
        <v>200889</v>
      </c>
      <c r="F224" s="15">
        <f t="shared" si="34"/>
        <v>19719395</v>
      </c>
      <c r="H224">
        <f t="shared" si="35"/>
        <v>216</v>
      </c>
      <c r="I224" s="15">
        <f t="shared" si="36"/>
        <v>216829</v>
      </c>
      <c r="J224" s="16">
        <f t="shared" si="39"/>
        <v>31261</v>
      </c>
      <c r="K224" s="15">
        <f t="shared" si="37"/>
        <v>185568</v>
      </c>
      <c r="L224" s="15">
        <f t="shared" si="38"/>
        <v>16866166</v>
      </c>
      <c r="O224" s="15"/>
      <c r="P224" s="16"/>
      <c r="Q224" s="15"/>
      <c r="R224" s="15"/>
    </row>
    <row r="225" spans="2:18" x14ac:dyDescent="0.55000000000000004">
      <c r="B225">
        <f t="shared" si="30"/>
        <v>217</v>
      </c>
      <c r="C225" s="15">
        <f t="shared" si="31"/>
        <v>272270</v>
      </c>
      <c r="D225" s="16">
        <f t="shared" si="32"/>
        <v>70661</v>
      </c>
      <c r="E225" s="15">
        <f t="shared" si="33"/>
        <v>201609</v>
      </c>
      <c r="F225" s="15">
        <f t="shared" si="34"/>
        <v>19517786</v>
      </c>
      <c r="H225">
        <f t="shared" si="35"/>
        <v>217</v>
      </c>
      <c r="I225" s="15">
        <f t="shared" si="36"/>
        <v>216829</v>
      </c>
      <c r="J225" s="16">
        <f t="shared" si="39"/>
        <v>30921</v>
      </c>
      <c r="K225" s="15">
        <f t="shared" si="37"/>
        <v>185908</v>
      </c>
      <c r="L225" s="15">
        <f t="shared" si="38"/>
        <v>16680258</v>
      </c>
      <c r="O225" s="15"/>
      <c r="P225" s="16"/>
      <c r="Q225" s="15"/>
      <c r="R225" s="15"/>
    </row>
    <row r="226" spans="2:18" x14ac:dyDescent="0.55000000000000004">
      <c r="B226">
        <f t="shared" si="30"/>
        <v>218</v>
      </c>
      <c r="C226" s="15">
        <f t="shared" si="31"/>
        <v>272270</v>
      </c>
      <c r="D226" s="16">
        <f t="shared" si="32"/>
        <v>69938</v>
      </c>
      <c r="E226" s="15">
        <f t="shared" si="33"/>
        <v>202332</v>
      </c>
      <c r="F226" s="15">
        <f t="shared" si="34"/>
        <v>19315454</v>
      </c>
      <c r="H226">
        <f t="shared" si="35"/>
        <v>218</v>
      </c>
      <c r="I226" s="15">
        <f t="shared" si="36"/>
        <v>216829</v>
      </c>
      <c r="J226" s="16">
        <f t="shared" si="39"/>
        <v>30580</v>
      </c>
      <c r="K226" s="15">
        <f t="shared" si="37"/>
        <v>186249</v>
      </c>
      <c r="L226" s="15">
        <f t="shared" si="38"/>
        <v>16494009</v>
      </c>
      <c r="O226" s="15"/>
      <c r="P226" s="16"/>
      <c r="Q226" s="15"/>
      <c r="R226" s="15"/>
    </row>
    <row r="227" spans="2:18" x14ac:dyDescent="0.55000000000000004">
      <c r="B227">
        <f t="shared" si="30"/>
        <v>219</v>
      </c>
      <c r="C227" s="15">
        <f t="shared" si="31"/>
        <v>272270</v>
      </c>
      <c r="D227" s="16">
        <f t="shared" si="32"/>
        <v>69213</v>
      </c>
      <c r="E227" s="15">
        <f t="shared" si="33"/>
        <v>203057</v>
      </c>
      <c r="F227" s="15">
        <f t="shared" si="34"/>
        <v>19112397</v>
      </c>
      <c r="H227">
        <f t="shared" si="35"/>
        <v>219</v>
      </c>
      <c r="I227" s="15">
        <f t="shared" si="36"/>
        <v>216829</v>
      </c>
      <c r="J227" s="16">
        <f t="shared" si="39"/>
        <v>30239</v>
      </c>
      <c r="K227" s="15">
        <f t="shared" si="37"/>
        <v>186590</v>
      </c>
      <c r="L227" s="15">
        <f t="shared" si="38"/>
        <v>16307419</v>
      </c>
      <c r="O227" s="15"/>
      <c r="P227" s="16"/>
      <c r="Q227" s="15"/>
      <c r="R227" s="15"/>
    </row>
    <row r="228" spans="2:18" x14ac:dyDescent="0.55000000000000004">
      <c r="B228">
        <f t="shared" si="30"/>
        <v>220</v>
      </c>
      <c r="C228" s="15">
        <f t="shared" si="31"/>
        <v>272270</v>
      </c>
      <c r="D228" s="16">
        <f t="shared" si="32"/>
        <v>68486</v>
      </c>
      <c r="E228" s="15">
        <f t="shared" si="33"/>
        <v>203784</v>
      </c>
      <c r="F228" s="15">
        <f t="shared" si="34"/>
        <v>18908613</v>
      </c>
      <c r="H228">
        <f t="shared" si="35"/>
        <v>220</v>
      </c>
      <c r="I228" s="15">
        <f t="shared" si="36"/>
        <v>216829</v>
      </c>
      <c r="J228" s="16">
        <f t="shared" si="39"/>
        <v>29896</v>
      </c>
      <c r="K228" s="15">
        <f t="shared" si="37"/>
        <v>186933</v>
      </c>
      <c r="L228" s="15">
        <f t="shared" si="38"/>
        <v>16120486</v>
      </c>
      <c r="O228" s="15"/>
      <c r="P228" s="16"/>
      <c r="Q228" s="15"/>
      <c r="R228" s="15"/>
    </row>
    <row r="229" spans="2:18" x14ac:dyDescent="0.55000000000000004">
      <c r="B229">
        <f t="shared" si="30"/>
        <v>221</v>
      </c>
      <c r="C229" s="15">
        <f t="shared" si="31"/>
        <v>272270</v>
      </c>
      <c r="D229" s="16">
        <f t="shared" si="32"/>
        <v>67755</v>
      </c>
      <c r="E229" s="15">
        <f t="shared" si="33"/>
        <v>204515</v>
      </c>
      <c r="F229" s="15">
        <f t="shared" si="34"/>
        <v>18704098</v>
      </c>
      <c r="H229">
        <f t="shared" si="35"/>
        <v>221</v>
      </c>
      <c r="I229" s="15">
        <f t="shared" si="36"/>
        <v>216829</v>
      </c>
      <c r="J229" s="16">
        <f t="shared" si="39"/>
        <v>29554</v>
      </c>
      <c r="K229" s="15">
        <f t="shared" si="37"/>
        <v>187275</v>
      </c>
      <c r="L229" s="15">
        <f t="shared" si="38"/>
        <v>15933211</v>
      </c>
      <c r="O229" s="15"/>
      <c r="P229" s="16"/>
      <c r="Q229" s="15"/>
      <c r="R229" s="15"/>
    </row>
    <row r="230" spans="2:18" x14ac:dyDescent="0.55000000000000004">
      <c r="B230">
        <f t="shared" si="30"/>
        <v>222</v>
      </c>
      <c r="C230" s="15">
        <f t="shared" si="31"/>
        <v>272270</v>
      </c>
      <c r="D230" s="16">
        <f t="shared" si="32"/>
        <v>67023</v>
      </c>
      <c r="E230" s="15">
        <f t="shared" si="33"/>
        <v>205247</v>
      </c>
      <c r="F230" s="15">
        <f t="shared" si="34"/>
        <v>18498851</v>
      </c>
      <c r="H230">
        <f t="shared" si="35"/>
        <v>222</v>
      </c>
      <c r="I230" s="15">
        <f t="shared" si="36"/>
        <v>216829</v>
      </c>
      <c r="J230" s="16">
        <f t="shared" si="39"/>
        <v>29210</v>
      </c>
      <c r="K230" s="15">
        <f t="shared" si="37"/>
        <v>187619</v>
      </c>
      <c r="L230" s="15">
        <f t="shared" si="38"/>
        <v>15745592</v>
      </c>
      <c r="O230" s="15"/>
      <c r="P230" s="16"/>
      <c r="Q230" s="15"/>
      <c r="R230" s="15"/>
    </row>
    <row r="231" spans="2:18" x14ac:dyDescent="0.55000000000000004">
      <c r="B231">
        <f t="shared" si="30"/>
        <v>223</v>
      </c>
      <c r="C231" s="15">
        <f t="shared" si="31"/>
        <v>272270</v>
      </c>
      <c r="D231" s="16">
        <f t="shared" si="32"/>
        <v>66287</v>
      </c>
      <c r="E231" s="15">
        <f t="shared" si="33"/>
        <v>205983</v>
      </c>
      <c r="F231" s="15">
        <f t="shared" si="34"/>
        <v>18292868</v>
      </c>
      <c r="H231">
        <f t="shared" si="35"/>
        <v>223</v>
      </c>
      <c r="I231" s="15">
        <f t="shared" si="36"/>
        <v>216829</v>
      </c>
      <c r="J231" s="16">
        <f t="shared" si="39"/>
        <v>28866</v>
      </c>
      <c r="K231" s="15">
        <f t="shared" si="37"/>
        <v>187963</v>
      </c>
      <c r="L231" s="15">
        <f t="shared" si="38"/>
        <v>15557629</v>
      </c>
      <c r="O231" s="15"/>
      <c r="P231" s="16"/>
      <c r="Q231" s="15"/>
      <c r="R231" s="15"/>
    </row>
    <row r="232" spans="2:18" x14ac:dyDescent="0.55000000000000004">
      <c r="B232">
        <f t="shared" si="30"/>
        <v>224</v>
      </c>
      <c r="C232" s="15">
        <f t="shared" si="31"/>
        <v>272270</v>
      </c>
      <c r="D232" s="16">
        <f t="shared" si="32"/>
        <v>65549</v>
      </c>
      <c r="E232" s="15">
        <f t="shared" si="33"/>
        <v>206721</v>
      </c>
      <c r="F232" s="15">
        <f t="shared" si="34"/>
        <v>18086147</v>
      </c>
      <c r="H232">
        <f t="shared" si="35"/>
        <v>224</v>
      </c>
      <c r="I232" s="15">
        <f t="shared" si="36"/>
        <v>216829</v>
      </c>
      <c r="J232" s="16">
        <f t="shared" si="39"/>
        <v>28522</v>
      </c>
      <c r="K232" s="15">
        <f t="shared" si="37"/>
        <v>188307</v>
      </c>
      <c r="L232" s="15">
        <f t="shared" si="38"/>
        <v>15369322</v>
      </c>
      <c r="O232" s="15"/>
      <c r="P232" s="16"/>
      <c r="Q232" s="15"/>
      <c r="R232" s="15"/>
    </row>
    <row r="233" spans="2:18" x14ac:dyDescent="0.55000000000000004">
      <c r="B233">
        <f t="shared" si="30"/>
        <v>225</v>
      </c>
      <c r="C233" s="15">
        <f t="shared" si="31"/>
        <v>272270</v>
      </c>
      <c r="D233" s="16">
        <f t="shared" si="32"/>
        <v>64808</v>
      </c>
      <c r="E233" s="15">
        <f t="shared" si="33"/>
        <v>207462</v>
      </c>
      <c r="F233" s="15">
        <f t="shared" si="34"/>
        <v>17878685</v>
      </c>
      <c r="H233">
        <f t="shared" si="35"/>
        <v>225</v>
      </c>
      <c r="I233" s="15">
        <f t="shared" si="36"/>
        <v>216829</v>
      </c>
      <c r="J233" s="16">
        <f t="shared" si="39"/>
        <v>28177</v>
      </c>
      <c r="K233" s="15">
        <f t="shared" si="37"/>
        <v>188652</v>
      </c>
      <c r="L233" s="15">
        <f t="shared" si="38"/>
        <v>15180670</v>
      </c>
      <c r="O233" s="15"/>
      <c r="P233" s="16"/>
      <c r="Q233" s="15"/>
      <c r="R233" s="15"/>
    </row>
    <row r="234" spans="2:18" x14ac:dyDescent="0.55000000000000004">
      <c r="B234">
        <f t="shared" si="30"/>
        <v>226</v>
      </c>
      <c r="C234" s="15">
        <f t="shared" si="31"/>
        <v>272270</v>
      </c>
      <c r="D234" s="16">
        <f t="shared" si="32"/>
        <v>64065</v>
      </c>
      <c r="E234" s="15">
        <f t="shared" si="33"/>
        <v>208205</v>
      </c>
      <c r="F234" s="15">
        <f t="shared" si="34"/>
        <v>17670480</v>
      </c>
      <c r="H234">
        <f t="shared" si="35"/>
        <v>226</v>
      </c>
      <c r="I234" s="15">
        <f t="shared" si="36"/>
        <v>216829</v>
      </c>
      <c r="J234" s="16">
        <f t="shared" si="39"/>
        <v>27831</v>
      </c>
      <c r="K234" s="15">
        <f t="shared" si="37"/>
        <v>188998</v>
      </c>
      <c r="L234" s="15">
        <f t="shared" si="38"/>
        <v>14991672</v>
      </c>
      <c r="O234" s="15"/>
      <c r="P234" s="16"/>
      <c r="Q234" s="15"/>
      <c r="R234" s="15"/>
    </row>
    <row r="235" spans="2:18" x14ac:dyDescent="0.55000000000000004">
      <c r="B235">
        <f t="shared" si="30"/>
        <v>227</v>
      </c>
      <c r="C235" s="15">
        <f t="shared" si="31"/>
        <v>272270</v>
      </c>
      <c r="D235" s="16">
        <f t="shared" si="32"/>
        <v>63319</v>
      </c>
      <c r="E235" s="15">
        <f t="shared" si="33"/>
        <v>208951</v>
      </c>
      <c r="F235" s="15">
        <f t="shared" si="34"/>
        <v>17461529</v>
      </c>
      <c r="H235">
        <f t="shared" si="35"/>
        <v>227</v>
      </c>
      <c r="I235" s="15">
        <f t="shared" si="36"/>
        <v>216829</v>
      </c>
      <c r="J235" s="16">
        <f t="shared" si="39"/>
        <v>27484</v>
      </c>
      <c r="K235" s="15">
        <f t="shared" si="37"/>
        <v>189345</v>
      </c>
      <c r="L235" s="15">
        <f t="shared" si="38"/>
        <v>14802327</v>
      </c>
      <c r="O235" s="15"/>
      <c r="P235" s="16"/>
      <c r="Q235" s="15"/>
      <c r="R235" s="15"/>
    </row>
    <row r="236" spans="2:18" x14ac:dyDescent="0.55000000000000004">
      <c r="B236">
        <f t="shared" si="30"/>
        <v>228</v>
      </c>
      <c r="C236" s="15">
        <f t="shared" si="31"/>
        <v>272270</v>
      </c>
      <c r="D236" s="16">
        <f t="shared" si="32"/>
        <v>62570</v>
      </c>
      <c r="E236" s="15">
        <f t="shared" si="33"/>
        <v>209700</v>
      </c>
      <c r="F236" s="15">
        <f t="shared" si="34"/>
        <v>17251829</v>
      </c>
      <c r="H236">
        <f t="shared" si="35"/>
        <v>228</v>
      </c>
      <c r="I236" s="15">
        <f t="shared" si="36"/>
        <v>216829</v>
      </c>
      <c r="J236" s="16">
        <f t="shared" si="39"/>
        <v>27137</v>
      </c>
      <c r="K236" s="15">
        <f t="shared" si="37"/>
        <v>189692</v>
      </c>
      <c r="L236" s="15">
        <f t="shared" si="38"/>
        <v>14612635</v>
      </c>
      <c r="O236" s="15"/>
      <c r="P236" s="16"/>
      <c r="Q236" s="15"/>
      <c r="R236" s="15"/>
    </row>
    <row r="237" spans="2:18" x14ac:dyDescent="0.55000000000000004">
      <c r="B237">
        <f t="shared" si="30"/>
        <v>229</v>
      </c>
      <c r="C237" s="15">
        <f t="shared" si="31"/>
        <v>272270</v>
      </c>
      <c r="D237" s="16">
        <f t="shared" si="32"/>
        <v>61819</v>
      </c>
      <c r="E237" s="15">
        <f t="shared" si="33"/>
        <v>210451</v>
      </c>
      <c r="F237" s="15">
        <f t="shared" si="34"/>
        <v>17041378</v>
      </c>
      <c r="H237">
        <f t="shared" si="35"/>
        <v>229</v>
      </c>
      <c r="I237" s="15">
        <f t="shared" si="36"/>
        <v>216829</v>
      </c>
      <c r="J237" s="16">
        <f t="shared" si="39"/>
        <v>26789</v>
      </c>
      <c r="K237" s="15">
        <f t="shared" si="37"/>
        <v>190040</v>
      </c>
      <c r="L237" s="15">
        <f t="shared" si="38"/>
        <v>14422595</v>
      </c>
      <c r="O237" s="15"/>
      <c r="P237" s="16"/>
      <c r="Q237" s="15"/>
      <c r="R237" s="15"/>
    </row>
    <row r="238" spans="2:18" x14ac:dyDescent="0.55000000000000004">
      <c r="B238">
        <f t="shared" si="30"/>
        <v>230</v>
      </c>
      <c r="C238" s="15">
        <f t="shared" si="31"/>
        <v>272270</v>
      </c>
      <c r="D238" s="16">
        <f t="shared" si="32"/>
        <v>61064</v>
      </c>
      <c r="E238" s="15">
        <f t="shared" si="33"/>
        <v>211206</v>
      </c>
      <c r="F238" s="15">
        <f t="shared" si="34"/>
        <v>16830172</v>
      </c>
      <c r="H238">
        <f t="shared" si="35"/>
        <v>230</v>
      </c>
      <c r="I238" s="15">
        <f t="shared" si="36"/>
        <v>216829</v>
      </c>
      <c r="J238" s="16">
        <f t="shared" si="39"/>
        <v>26441</v>
      </c>
      <c r="K238" s="15">
        <f t="shared" si="37"/>
        <v>190388</v>
      </c>
      <c r="L238" s="15">
        <f t="shared" si="38"/>
        <v>14232207</v>
      </c>
      <c r="O238" s="15"/>
      <c r="P238" s="16"/>
      <c r="Q238" s="15"/>
      <c r="R238" s="15"/>
    </row>
    <row r="239" spans="2:18" x14ac:dyDescent="0.55000000000000004">
      <c r="B239">
        <f t="shared" si="30"/>
        <v>231</v>
      </c>
      <c r="C239" s="15">
        <f t="shared" si="31"/>
        <v>272270</v>
      </c>
      <c r="D239" s="16">
        <f t="shared" si="32"/>
        <v>60308</v>
      </c>
      <c r="E239" s="15">
        <f t="shared" si="33"/>
        <v>211962</v>
      </c>
      <c r="F239" s="15">
        <f t="shared" si="34"/>
        <v>16618210</v>
      </c>
      <c r="H239">
        <f t="shared" si="35"/>
        <v>231</v>
      </c>
      <c r="I239" s="15">
        <f t="shared" si="36"/>
        <v>216829</v>
      </c>
      <c r="J239" s="16">
        <f t="shared" si="39"/>
        <v>26092</v>
      </c>
      <c r="K239" s="15">
        <f t="shared" si="37"/>
        <v>190737</v>
      </c>
      <c r="L239" s="15">
        <f t="shared" si="38"/>
        <v>14041470</v>
      </c>
      <c r="O239" s="15"/>
      <c r="P239" s="16"/>
      <c r="Q239" s="15"/>
      <c r="R239" s="15"/>
    </row>
    <row r="240" spans="2:18" x14ac:dyDescent="0.55000000000000004">
      <c r="B240">
        <f t="shared" si="30"/>
        <v>232</v>
      </c>
      <c r="C240" s="15">
        <f t="shared" si="31"/>
        <v>272270</v>
      </c>
      <c r="D240" s="16">
        <f t="shared" si="32"/>
        <v>59548</v>
      </c>
      <c r="E240" s="15">
        <f t="shared" si="33"/>
        <v>212722</v>
      </c>
      <c r="F240" s="15">
        <f t="shared" si="34"/>
        <v>16405488</v>
      </c>
      <c r="H240">
        <f t="shared" si="35"/>
        <v>232</v>
      </c>
      <c r="I240" s="15">
        <f t="shared" si="36"/>
        <v>216829</v>
      </c>
      <c r="J240" s="16">
        <f t="shared" si="39"/>
        <v>25742</v>
      </c>
      <c r="K240" s="15">
        <f t="shared" si="37"/>
        <v>191087</v>
      </c>
      <c r="L240" s="15">
        <f t="shared" si="38"/>
        <v>13850383</v>
      </c>
      <c r="O240" s="15"/>
      <c r="P240" s="16"/>
      <c r="Q240" s="15"/>
      <c r="R240" s="15"/>
    </row>
    <row r="241" spans="2:18" x14ac:dyDescent="0.55000000000000004">
      <c r="B241">
        <f t="shared" si="30"/>
        <v>233</v>
      </c>
      <c r="C241" s="15">
        <f t="shared" si="31"/>
        <v>272270</v>
      </c>
      <c r="D241" s="16">
        <f t="shared" si="32"/>
        <v>58786</v>
      </c>
      <c r="E241" s="15">
        <f t="shared" si="33"/>
        <v>213484</v>
      </c>
      <c r="F241" s="15">
        <f t="shared" si="34"/>
        <v>16192004</v>
      </c>
      <c r="H241">
        <f t="shared" si="35"/>
        <v>233</v>
      </c>
      <c r="I241" s="15">
        <f t="shared" si="36"/>
        <v>216829</v>
      </c>
      <c r="J241" s="16">
        <f t="shared" si="39"/>
        <v>25392</v>
      </c>
      <c r="K241" s="15">
        <f t="shared" si="37"/>
        <v>191437</v>
      </c>
      <c r="L241" s="15">
        <f t="shared" si="38"/>
        <v>13658946</v>
      </c>
      <c r="O241" s="15"/>
      <c r="P241" s="16"/>
      <c r="Q241" s="15"/>
      <c r="R241" s="15"/>
    </row>
    <row r="242" spans="2:18" x14ac:dyDescent="0.55000000000000004">
      <c r="B242">
        <f t="shared" si="30"/>
        <v>234</v>
      </c>
      <c r="C242" s="15">
        <f t="shared" si="31"/>
        <v>272270</v>
      </c>
      <c r="D242" s="16">
        <f t="shared" si="32"/>
        <v>58021</v>
      </c>
      <c r="E242" s="15">
        <f t="shared" si="33"/>
        <v>214249</v>
      </c>
      <c r="F242" s="15">
        <f t="shared" si="34"/>
        <v>15977755</v>
      </c>
      <c r="H242">
        <f t="shared" si="35"/>
        <v>234</v>
      </c>
      <c r="I242" s="15">
        <f t="shared" si="36"/>
        <v>216829</v>
      </c>
      <c r="J242" s="16">
        <f t="shared" si="39"/>
        <v>25041</v>
      </c>
      <c r="K242" s="15">
        <f t="shared" si="37"/>
        <v>191788</v>
      </c>
      <c r="L242" s="15">
        <f t="shared" si="38"/>
        <v>13467158</v>
      </c>
      <c r="O242" s="15"/>
      <c r="P242" s="16"/>
      <c r="Q242" s="15"/>
      <c r="R242" s="15"/>
    </row>
    <row r="243" spans="2:18" x14ac:dyDescent="0.55000000000000004">
      <c r="B243">
        <f t="shared" si="30"/>
        <v>235</v>
      </c>
      <c r="C243" s="15">
        <f t="shared" si="31"/>
        <v>272270</v>
      </c>
      <c r="D243" s="16">
        <f t="shared" si="32"/>
        <v>57253</v>
      </c>
      <c r="E243" s="15">
        <f t="shared" si="33"/>
        <v>215017</v>
      </c>
      <c r="F243" s="15">
        <f t="shared" si="34"/>
        <v>15762738</v>
      </c>
      <c r="H243">
        <f t="shared" si="35"/>
        <v>235</v>
      </c>
      <c r="I243" s="15">
        <f t="shared" si="36"/>
        <v>216829</v>
      </c>
      <c r="J243" s="16">
        <f t="shared" si="39"/>
        <v>24689</v>
      </c>
      <c r="K243" s="15">
        <f t="shared" si="37"/>
        <v>192140</v>
      </c>
      <c r="L243" s="15">
        <f t="shared" si="38"/>
        <v>13275018</v>
      </c>
      <c r="O243" s="15"/>
      <c r="P243" s="16"/>
      <c r="Q243" s="15"/>
      <c r="R243" s="15"/>
    </row>
    <row r="244" spans="2:18" x14ac:dyDescent="0.55000000000000004">
      <c r="B244">
        <f t="shared" si="30"/>
        <v>236</v>
      </c>
      <c r="C244" s="15">
        <f t="shared" si="31"/>
        <v>272270</v>
      </c>
      <c r="D244" s="16">
        <f t="shared" si="32"/>
        <v>56483</v>
      </c>
      <c r="E244" s="15">
        <f t="shared" si="33"/>
        <v>215787</v>
      </c>
      <c r="F244" s="15">
        <f t="shared" si="34"/>
        <v>15546951</v>
      </c>
      <c r="H244">
        <f t="shared" si="35"/>
        <v>236</v>
      </c>
      <c r="I244" s="15">
        <f t="shared" si="36"/>
        <v>216829</v>
      </c>
      <c r="J244" s="16">
        <f t="shared" si="39"/>
        <v>24337</v>
      </c>
      <c r="K244" s="15">
        <f t="shared" si="37"/>
        <v>192492</v>
      </c>
      <c r="L244" s="15">
        <f t="shared" si="38"/>
        <v>13082526</v>
      </c>
      <c r="O244" s="15"/>
      <c r="P244" s="16"/>
      <c r="Q244" s="15"/>
      <c r="R244" s="15"/>
    </row>
    <row r="245" spans="2:18" x14ac:dyDescent="0.55000000000000004">
      <c r="B245">
        <f t="shared" si="30"/>
        <v>237</v>
      </c>
      <c r="C245" s="15">
        <f t="shared" si="31"/>
        <v>272270</v>
      </c>
      <c r="D245" s="16">
        <f t="shared" si="32"/>
        <v>55709</v>
      </c>
      <c r="E245" s="15">
        <f t="shared" si="33"/>
        <v>216561</v>
      </c>
      <c r="F245" s="15">
        <f t="shared" si="34"/>
        <v>15330390</v>
      </c>
      <c r="H245">
        <f t="shared" si="35"/>
        <v>237</v>
      </c>
      <c r="I245" s="15">
        <f t="shared" si="36"/>
        <v>216829</v>
      </c>
      <c r="J245" s="16">
        <f t="shared" si="39"/>
        <v>23984</v>
      </c>
      <c r="K245" s="15">
        <f t="shared" si="37"/>
        <v>192845</v>
      </c>
      <c r="L245" s="15">
        <f t="shared" si="38"/>
        <v>12889681</v>
      </c>
      <c r="O245" s="15"/>
      <c r="P245" s="16"/>
      <c r="Q245" s="15"/>
      <c r="R245" s="15"/>
    </row>
    <row r="246" spans="2:18" x14ac:dyDescent="0.55000000000000004">
      <c r="B246">
        <f t="shared" si="30"/>
        <v>238</v>
      </c>
      <c r="C246" s="15">
        <f t="shared" si="31"/>
        <v>272270</v>
      </c>
      <c r="D246" s="16">
        <f t="shared" si="32"/>
        <v>54933</v>
      </c>
      <c r="E246" s="15">
        <f t="shared" si="33"/>
        <v>217337</v>
      </c>
      <c r="F246" s="15">
        <f t="shared" si="34"/>
        <v>15113053</v>
      </c>
      <c r="H246">
        <f t="shared" si="35"/>
        <v>238</v>
      </c>
      <c r="I246" s="15">
        <f t="shared" si="36"/>
        <v>216829</v>
      </c>
      <c r="J246" s="16">
        <f t="shared" si="39"/>
        <v>23631</v>
      </c>
      <c r="K246" s="15">
        <f t="shared" si="37"/>
        <v>193198</v>
      </c>
      <c r="L246" s="15">
        <f t="shared" si="38"/>
        <v>12696483</v>
      </c>
      <c r="O246" s="15"/>
      <c r="P246" s="16"/>
      <c r="Q246" s="15"/>
      <c r="R246" s="15"/>
    </row>
    <row r="247" spans="2:18" x14ac:dyDescent="0.55000000000000004">
      <c r="B247">
        <f t="shared" si="30"/>
        <v>239</v>
      </c>
      <c r="C247" s="15">
        <f t="shared" si="31"/>
        <v>272270</v>
      </c>
      <c r="D247" s="16">
        <f t="shared" si="32"/>
        <v>54155</v>
      </c>
      <c r="E247" s="15">
        <f t="shared" si="33"/>
        <v>218115</v>
      </c>
      <c r="F247" s="15">
        <f t="shared" si="34"/>
        <v>14894938</v>
      </c>
      <c r="H247">
        <f t="shared" si="35"/>
        <v>239</v>
      </c>
      <c r="I247" s="15">
        <f t="shared" si="36"/>
        <v>216829</v>
      </c>
      <c r="J247" s="16">
        <f t="shared" si="39"/>
        <v>23276</v>
      </c>
      <c r="K247" s="15">
        <f t="shared" si="37"/>
        <v>193553</v>
      </c>
      <c r="L247" s="15">
        <f t="shared" si="38"/>
        <v>12502930</v>
      </c>
      <c r="O247" s="15"/>
      <c r="P247" s="16"/>
      <c r="Q247" s="15"/>
      <c r="R247" s="15"/>
    </row>
    <row r="248" spans="2:18" x14ac:dyDescent="0.55000000000000004">
      <c r="B248">
        <f t="shared" si="30"/>
        <v>240</v>
      </c>
      <c r="C248" s="15">
        <f t="shared" si="31"/>
        <v>272270</v>
      </c>
      <c r="D248" s="16">
        <f t="shared" si="32"/>
        <v>53373</v>
      </c>
      <c r="E248" s="15">
        <f t="shared" si="33"/>
        <v>218897</v>
      </c>
      <c r="F248" s="15">
        <f t="shared" si="34"/>
        <v>14676041</v>
      </c>
      <c r="H248">
        <f t="shared" si="35"/>
        <v>240</v>
      </c>
      <c r="I248" s="15">
        <f t="shared" si="36"/>
        <v>216829</v>
      </c>
      <c r="J248" s="16">
        <f t="shared" si="39"/>
        <v>22922</v>
      </c>
      <c r="K248" s="15">
        <f t="shared" si="37"/>
        <v>193907</v>
      </c>
      <c r="L248" s="15">
        <f t="shared" si="38"/>
        <v>12309023</v>
      </c>
      <c r="O248" s="15"/>
      <c r="P248" s="16"/>
      <c r="Q248" s="15"/>
      <c r="R248" s="15"/>
    </row>
    <row r="249" spans="2:18" x14ac:dyDescent="0.55000000000000004">
      <c r="B249">
        <f t="shared" si="30"/>
        <v>241</v>
      </c>
      <c r="C249" s="15">
        <f t="shared" si="31"/>
        <v>272270</v>
      </c>
      <c r="D249" s="16">
        <f t="shared" si="32"/>
        <v>52589</v>
      </c>
      <c r="E249" s="15">
        <f t="shared" si="33"/>
        <v>219681</v>
      </c>
      <c r="F249" s="15">
        <f t="shared" si="34"/>
        <v>14456360</v>
      </c>
      <c r="H249">
        <f t="shared" si="35"/>
        <v>241</v>
      </c>
      <c r="I249" s="15">
        <f t="shared" si="36"/>
        <v>216829</v>
      </c>
      <c r="J249" s="16">
        <f t="shared" si="39"/>
        <v>22566</v>
      </c>
      <c r="K249" s="15">
        <f t="shared" si="37"/>
        <v>194263</v>
      </c>
      <c r="L249" s="15">
        <f t="shared" si="38"/>
        <v>12114760</v>
      </c>
      <c r="O249" s="15"/>
      <c r="P249" s="16"/>
      <c r="Q249" s="15"/>
      <c r="R249" s="15"/>
    </row>
    <row r="250" spans="2:18" x14ac:dyDescent="0.55000000000000004">
      <c r="B250">
        <f t="shared" si="30"/>
        <v>242</v>
      </c>
      <c r="C250" s="15">
        <f t="shared" si="31"/>
        <v>272270</v>
      </c>
      <c r="D250" s="16">
        <f t="shared" si="32"/>
        <v>51801</v>
      </c>
      <c r="E250" s="15">
        <f t="shared" si="33"/>
        <v>220469</v>
      </c>
      <c r="F250" s="15">
        <f t="shared" si="34"/>
        <v>14235891</v>
      </c>
      <c r="H250">
        <f t="shared" si="35"/>
        <v>242</v>
      </c>
      <c r="I250" s="15">
        <f t="shared" si="36"/>
        <v>216829</v>
      </c>
      <c r="J250" s="16">
        <f t="shared" si="39"/>
        <v>22210</v>
      </c>
      <c r="K250" s="15">
        <f t="shared" si="37"/>
        <v>194619</v>
      </c>
      <c r="L250" s="15">
        <f t="shared" si="38"/>
        <v>11920141</v>
      </c>
      <c r="O250" s="15"/>
      <c r="P250" s="16"/>
      <c r="Q250" s="15"/>
      <c r="R250" s="15"/>
    </row>
    <row r="251" spans="2:18" x14ac:dyDescent="0.55000000000000004">
      <c r="B251">
        <f t="shared" si="30"/>
        <v>243</v>
      </c>
      <c r="C251" s="15">
        <f t="shared" si="31"/>
        <v>272270</v>
      </c>
      <c r="D251" s="16">
        <f t="shared" si="32"/>
        <v>51011</v>
      </c>
      <c r="E251" s="15">
        <f t="shared" si="33"/>
        <v>221259</v>
      </c>
      <c r="F251" s="15">
        <f t="shared" si="34"/>
        <v>14014632</v>
      </c>
      <c r="H251">
        <f t="shared" si="35"/>
        <v>243</v>
      </c>
      <c r="I251" s="15">
        <f t="shared" si="36"/>
        <v>216829</v>
      </c>
      <c r="J251" s="16">
        <f t="shared" si="39"/>
        <v>21853</v>
      </c>
      <c r="K251" s="15">
        <f t="shared" si="37"/>
        <v>194976</v>
      </c>
      <c r="L251" s="15">
        <f t="shared" si="38"/>
        <v>11725165</v>
      </c>
      <c r="O251" s="15"/>
      <c r="P251" s="16"/>
      <c r="Q251" s="15"/>
      <c r="R251" s="15"/>
    </row>
    <row r="252" spans="2:18" x14ac:dyDescent="0.55000000000000004">
      <c r="B252">
        <f t="shared" si="30"/>
        <v>244</v>
      </c>
      <c r="C252" s="15">
        <f t="shared" si="31"/>
        <v>272270</v>
      </c>
      <c r="D252" s="16">
        <f t="shared" si="32"/>
        <v>50219</v>
      </c>
      <c r="E252" s="15">
        <f t="shared" si="33"/>
        <v>222051</v>
      </c>
      <c r="F252" s="15">
        <f t="shared" si="34"/>
        <v>13792581</v>
      </c>
      <c r="H252">
        <f t="shared" si="35"/>
        <v>244</v>
      </c>
      <c r="I252" s="15">
        <f t="shared" si="36"/>
        <v>216829</v>
      </c>
      <c r="J252" s="16">
        <f t="shared" si="39"/>
        <v>21496</v>
      </c>
      <c r="K252" s="15">
        <f t="shared" si="37"/>
        <v>195333</v>
      </c>
      <c r="L252" s="15">
        <f t="shared" si="38"/>
        <v>11529832</v>
      </c>
      <c r="O252" s="15"/>
      <c r="P252" s="16"/>
      <c r="Q252" s="15"/>
      <c r="R252" s="15"/>
    </row>
    <row r="253" spans="2:18" x14ac:dyDescent="0.55000000000000004">
      <c r="B253">
        <f t="shared" si="30"/>
        <v>245</v>
      </c>
      <c r="C253" s="15">
        <f t="shared" si="31"/>
        <v>272270</v>
      </c>
      <c r="D253" s="16">
        <f t="shared" si="32"/>
        <v>49423</v>
      </c>
      <c r="E253" s="15">
        <f t="shared" si="33"/>
        <v>222847</v>
      </c>
      <c r="F253" s="15">
        <f t="shared" si="34"/>
        <v>13569734</v>
      </c>
      <c r="H253">
        <f t="shared" si="35"/>
        <v>245</v>
      </c>
      <c r="I253" s="15">
        <f t="shared" si="36"/>
        <v>216829</v>
      </c>
      <c r="J253" s="16">
        <f t="shared" si="39"/>
        <v>21138</v>
      </c>
      <c r="K253" s="15">
        <f t="shared" si="37"/>
        <v>195691</v>
      </c>
      <c r="L253" s="15">
        <f t="shared" si="38"/>
        <v>11334141</v>
      </c>
      <c r="O253" s="15"/>
      <c r="P253" s="16"/>
      <c r="Q253" s="15"/>
      <c r="R253" s="15"/>
    </row>
    <row r="254" spans="2:18" x14ac:dyDescent="0.55000000000000004">
      <c r="B254">
        <f t="shared" si="30"/>
        <v>246</v>
      </c>
      <c r="C254" s="15">
        <f t="shared" si="31"/>
        <v>272270</v>
      </c>
      <c r="D254" s="16">
        <f t="shared" si="32"/>
        <v>48624</v>
      </c>
      <c r="E254" s="15">
        <f t="shared" si="33"/>
        <v>223646</v>
      </c>
      <c r="F254" s="15">
        <f t="shared" si="34"/>
        <v>13346088</v>
      </c>
      <c r="H254">
        <f t="shared" si="35"/>
        <v>246</v>
      </c>
      <c r="I254" s="15">
        <f t="shared" si="36"/>
        <v>216829</v>
      </c>
      <c r="J254" s="16">
        <f t="shared" si="39"/>
        <v>20779</v>
      </c>
      <c r="K254" s="15">
        <f t="shared" si="37"/>
        <v>196050</v>
      </c>
      <c r="L254" s="15">
        <f t="shared" si="38"/>
        <v>11138091</v>
      </c>
      <c r="O254" s="15"/>
      <c r="P254" s="16"/>
      <c r="Q254" s="15"/>
      <c r="R254" s="15"/>
    </row>
    <row r="255" spans="2:18" x14ac:dyDescent="0.55000000000000004">
      <c r="B255">
        <f t="shared" si="30"/>
        <v>247</v>
      </c>
      <c r="C255" s="15">
        <f t="shared" si="31"/>
        <v>272270</v>
      </c>
      <c r="D255" s="16">
        <f t="shared" si="32"/>
        <v>47823</v>
      </c>
      <c r="E255" s="15">
        <f t="shared" si="33"/>
        <v>224447</v>
      </c>
      <c r="F255" s="15">
        <f t="shared" si="34"/>
        <v>13121641</v>
      </c>
      <c r="H255">
        <f t="shared" si="35"/>
        <v>247</v>
      </c>
      <c r="I255" s="15">
        <f t="shared" si="36"/>
        <v>216829</v>
      </c>
      <c r="J255" s="16">
        <f t="shared" si="39"/>
        <v>20419</v>
      </c>
      <c r="K255" s="15">
        <f t="shared" si="37"/>
        <v>196410</v>
      </c>
      <c r="L255" s="15">
        <f t="shared" si="38"/>
        <v>10941681</v>
      </c>
      <c r="O255" s="15"/>
      <c r="P255" s="16"/>
      <c r="Q255" s="15"/>
      <c r="R255" s="15"/>
    </row>
    <row r="256" spans="2:18" x14ac:dyDescent="0.55000000000000004">
      <c r="B256">
        <f t="shared" si="30"/>
        <v>248</v>
      </c>
      <c r="C256" s="15">
        <f t="shared" si="31"/>
        <v>272270</v>
      </c>
      <c r="D256" s="16">
        <f t="shared" si="32"/>
        <v>47019</v>
      </c>
      <c r="E256" s="15">
        <f t="shared" si="33"/>
        <v>225251</v>
      </c>
      <c r="F256" s="15">
        <f t="shared" si="34"/>
        <v>12896390</v>
      </c>
      <c r="H256">
        <f t="shared" si="35"/>
        <v>248</v>
      </c>
      <c r="I256" s="15">
        <f t="shared" si="36"/>
        <v>216829</v>
      </c>
      <c r="J256" s="16">
        <f t="shared" si="39"/>
        <v>20059</v>
      </c>
      <c r="K256" s="15">
        <f t="shared" si="37"/>
        <v>196770</v>
      </c>
      <c r="L256" s="15">
        <f t="shared" si="38"/>
        <v>10744911</v>
      </c>
      <c r="O256" s="15"/>
      <c r="P256" s="16"/>
      <c r="Q256" s="15"/>
      <c r="R256" s="15"/>
    </row>
    <row r="257" spans="2:18" x14ac:dyDescent="0.55000000000000004">
      <c r="B257">
        <f t="shared" si="30"/>
        <v>249</v>
      </c>
      <c r="C257" s="15">
        <f t="shared" si="31"/>
        <v>272270</v>
      </c>
      <c r="D257" s="16">
        <f t="shared" si="32"/>
        <v>46212</v>
      </c>
      <c r="E257" s="15">
        <f t="shared" si="33"/>
        <v>226058</v>
      </c>
      <c r="F257" s="15">
        <f t="shared" si="34"/>
        <v>12670332</v>
      </c>
      <c r="H257">
        <f t="shared" si="35"/>
        <v>249</v>
      </c>
      <c r="I257" s="15">
        <f t="shared" si="36"/>
        <v>216829</v>
      </c>
      <c r="J257" s="16">
        <f t="shared" si="39"/>
        <v>19699</v>
      </c>
      <c r="K257" s="15">
        <f t="shared" si="37"/>
        <v>197130</v>
      </c>
      <c r="L257" s="15">
        <f t="shared" si="38"/>
        <v>10547781</v>
      </c>
      <c r="O257" s="15"/>
      <c r="P257" s="16"/>
      <c r="Q257" s="15"/>
      <c r="R257" s="15"/>
    </row>
    <row r="258" spans="2:18" x14ac:dyDescent="0.55000000000000004">
      <c r="B258">
        <f t="shared" si="30"/>
        <v>250</v>
      </c>
      <c r="C258" s="15">
        <f t="shared" si="31"/>
        <v>272270</v>
      </c>
      <c r="D258" s="16">
        <f t="shared" si="32"/>
        <v>45402</v>
      </c>
      <c r="E258" s="15">
        <f t="shared" si="33"/>
        <v>226868</v>
      </c>
      <c r="F258" s="15">
        <f t="shared" si="34"/>
        <v>12443464</v>
      </c>
      <c r="H258">
        <f t="shared" si="35"/>
        <v>250</v>
      </c>
      <c r="I258" s="15">
        <f t="shared" si="36"/>
        <v>216829</v>
      </c>
      <c r="J258" s="16">
        <f t="shared" si="39"/>
        <v>19337</v>
      </c>
      <c r="K258" s="15">
        <f t="shared" si="37"/>
        <v>197492</v>
      </c>
      <c r="L258" s="15">
        <f t="shared" si="38"/>
        <v>10350289</v>
      </c>
      <c r="O258" s="15"/>
      <c r="P258" s="16"/>
      <c r="Q258" s="15"/>
      <c r="R258" s="15"/>
    </row>
    <row r="259" spans="2:18" x14ac:dyDescent="0.55000000000000004">
      <c r="B259">
        <f t="shared" si="30"/>
        <v>251</v>
      </c>
      <c r="C259" s="15">
        <f t="shared" si="31"/>
        <v>272270</v>
      </c>
      <c r="D259" s="16">
        <f t="shared" si="32"/>
        <v>44589</v>
      </c>
      <c r="E259" s="15">
        <f t="shared" si="33"/>
        <v>227681</v>
      </c>
      <c r="F259" s="15">
        <f t="shared" si="34"/>
        <v>12215783</v>
      </c>
      <c r="H259">
        <f t="shared" si="35"/>
        <v>251</v>
      </c>
      <c r="I259" s="15">
        <f t="shared" si="36"/>
        <v>216829</v>
      </c>
      <c r="J259" s="16">
        <f t="shared" si="39"/>
        <v>18975</v>
      </c>
      <c r="K259" s="15">
        <f t="shared" si="37"/>
        <v>197854</v>
      </c>
      <c r="L259" s="15">
        <f t="shared" si="38"/>
        <v>10152435</v>
      </c>
      <c r="O259" s="15"/>
      <c r="P259" s="16"/>
      <c r="Q259" s="15"/>
      <c r="R259" s="15"/>
    </row>
    <row r="260" spans="2:18" x14ac:dyDescent="0.55000000000000004">
      <c r="B260">
        <f t="shared" si="30"/>
        <v>252</v>
      </c>
      <c r="C260" s="15">
        <f t="shared" si="31"/>
        <v>272270</v>
      </c>
      <c r="D260" s="16">
        <f t="shared" si="32"/>
        <v>43773</v>
      </c>
      <c r="E260" s="15">
        <f t="shared" si="33"/>
        <v>228497</v>
      </c>
      <c r="F260" s="15">
        <f t="shared" si="34"/>
        <v>11987286</v>
      </c>
      <c r="H260">
        <f t="shared" si="35"/>
        <v>252</v>
      </c>
      <c r="I260" s="15">
        <f t="shared" si="36"/>
        <v>216829</v>
      </c>
      <c r="J260" s="16">
        <f t="shared" si="39"/>
        <v>18612</v>
      </c>
      <c r="K260" s="15">
        <f t="shared" si="37"/>
        <v>198217</v>
      </c>
      <c r="L260" s="15">
        <f t="shared" si="38"/>
        <v>9954218</v>
      </c>
      <c r="O260" s="15"/>
      <c r="P260" s="16"/>
      <c r="Q260" s="15"/>
      <c r="R260" s="15"/>
    </row>
    <row r="261" spans="2:18" x14ac:dyDescent="0.55000000000000004">
      <c r="B261">
        <f t="shared" si="30"/>
        <v>253</v>
      </c>
      <c r="C261" s="15">
        <f t="shared" si="31"/>
        <v>272270</v>
      </c>
      <c r="D261" s="16">
        <f t="shared" si="32"/>
        <v>42954</v>
      </c>
      <c r="E261" s="15">
        <f t="shared" si="33"/>
        <v>229316</v>
      </c>
      <c r="F261" s="15">
        <f t="shared" si="34"/>
        <v>11757970</v>
      </c>
      <c r="H261">
        <f t="shared" si="35"/>
        <v>253</v>
      </c>
      <c r="I261" s="15">
        <f t="shared" si="36"/>
        <v>216829</v>
      </c>
      <c r="J261" s="16">
        <f t="shared" si="39"/>
        <v>18249</v>
      </c>
      <c r="K261" s="15">
        <f t="shared" si="37"/>
        <v>198580</v>
      </c>
      <c r="L261" s="15">
        <f t="shared" si="38"/>
        <v>9755638</v>
      </c>
      <c r="O261" s="15"/>
      <c r="P261" s="16"/>
      <c r="Q261" s="15"/>
      <c r="R261" s="15"/>
    </row>
    <row r="262" spans="2:18" x14ac:dyDescent="0.55000000000000004">
      <c r="B262">
        <f t="shared" si="30"/>
        <v>254</v>
      </c>
      <c r="C262" s="15">
        <f t="shared" si="31"/>
        <v>272270</v>
      </c>
      <c r="D262" s="16">
        <f t="shared" si="32"/>
        <v>42132</v>
      </c>
      <c r="E262" s="15">
        <f t="shared" si="33"/>
        <v>230138</v>
      </c>
      <c r="F262" s="15">
        <f t="shared" si="34"/>
        <v>11527832</v>
      </c>
      <c r="H262">
        <f t="shared" si="35"/>
        <v>254</v>
      </c>
      <c r="I262" s="15">
        <f t="shared" si="36"/>
        <v>216829</v>
      </c>
      <c r="J262" s="16">
        <f t="shared" si="39"/>
        <v>17885</v>
      </c>
      <c r="K262" s="15">
        <f t="shared" si="37"/>
        <v>198944</v>
      </c>
      <c r="L262" s="15">
        <f t="shared" si="38"/>
        <v>9556694</v>
      </c>
      <c r="O262" s="15"/>
      <c r="P262" s="16"/>
      <c r="Q262" s="15"/>
      <c r="R262" s="15"/>
    </row>
    <row r="263" spans="2:18" x14ac:dyDescent="0.55000000000000004">
      <c r="B263">
        <f t="shared" si="30"/>
        <v>255</v>
      </c>
      <c r="C263" s="15">
        <f t="shared" si="31"/>
        <v>272270</v>
      </c>
      <c r="D263" s="16">
        <f t="shared" si="32"/>
        <v>41308</v>
      </c>
      <c r="E263" s="15">
        <f t="shared" si="33"/>
        <v>230962</v>
      </c>
      <c r="F263" s="15">
        <f t="shared" si="34"/>
        <v>11296870</v>
      </c>
      <c r="H263">
        <f t="shared" si="35"/>
        <v>255</v>
      </c>
      <c r="I263" s="15">
        <f t="shared" si="36"/>
        <v>216829</v>
      </c>
      <c r="J263" s="16">
        <f t="shared" si="39"/>
        <v>17520</v>
      </c>
      <c r="K263" s="15">
        <f t="shared" si="37"/>
        <v>199309</v>
      </c>
      <c r="L263" s="15">
        <f t="shared" si="38"/>
        <v>9357385</v>
      </c>
      <c r="O263" s="15"/>
      <c r="P263" s="16"/>
      <c r="Q263" s="15"/>
      <c r="R263" s="15"/>
    </row>
    <row r="264" spans="2:18" x14ac:dyDescent="0.55000000000000004">
      <c r="B264">
        <f t="shared" si="30"/>
        <v>256</v>
      </c>
      <c r="C264" s="15">
        <f t="shared" si="31"/>
        <v>272270</v>
      </c>
      <c r="D264" s="16">
        <f t="shared" si="32"/>
        <v>40480</v>
      </c>
      <c r="E264" s="15">
        <f t="shared" si="33"/>
        <v>231790</v>
      </c>
      <c r="F264" s="15">
        <f t="shared" si="34"/>
        <v>11065080</v>
      </c>
      <c r="H264">
        <f t="shared" si="35"/>
        <v>256</v>
      </c>
      <c r="I264" s="15">
        <f t="shared" si="36"/>
        <v>216829</v>
      </c>
      <c r="J264" s="16">
        <f t="shared" si="39"/>
        <v>17155</v>
      </c>
      <c r="K264" s="15">
        <f t="shared" si="37"/>
        <v>199674</v>
      </c>
      <c r="L264" s="15">
        <f t="shared" si="38"/>
        <v>9157711</v>
      </c>
      <c r="O264" s="15"/>
      <c r="P264" s="16"/>
      <c r="Q264" s="15"/>
      <c r="R264" s="15"/>
    </row>
    <row r="265" spans="2:18" x14ac:dyDescent="0.55000000000000004">
      <c r="B265">
        <f t="shared" si="30"/>
        <v>257</v>
      </c>
      <c r="C265" s="15">
        <f t="shared" si="31"/>
        <v>272270</v>
      </c>
      <c r="D265" s="16">
        <f t="shared" si="32"/>
        <v>39649</v>
      </c>
      <c r="E265" s="15">
        <f t="shared" si="33"/>
        <v>232621</v>
      </c>
      <c r="F265" s="15">
        <f t="shared" si="34"/>
        <v>10832459</v>
      </c>
      <c r="H265">
        <f t="shared" si="35"/>
        <v>257</v>
      </c>
      <c r="I265" s="15">
        <f t="shared" si="36"/>
        <v>216829</v>
      </c>
      <c r="J265" s="16">
        <f t="shared" si="39"/>
        <v>16789</v>
      </c>
      <c r="K265" s="15">
        <f t="shared" si="37"/>
        <v>200040</v>
      </c>
      <c r="L265" s="15">
        <f t="shared" si="38"/>
        <v>8957671</v>
      </c>
      <c r="O265" s="15"/>
      <c r="P265" s="16"/>
      <c r="Q265" s="15"/>
      <c r="R265" s="15"/>
    </row>
    <row r="266" spans="2:18" x14ac:dyDescent="0.55000000000000004">
      <c r="B266">
        <f t="shared" si="30"/>
        <v>258</v>
      </c>
      <c r="C266" s="15">
        <f t="shared" si="31"/>
        <v>272270</v>
      </c>
      <c r="D266" s="16">
        <f t="shared" si="32"/>
        <v>38816</v>
      </c>
      <c r="E266" s="15">
        <f t="shared" si="33"/>
        <v>233454</v>
      </c>
      <c r="F266" s="15">
        <f t="shared" si="34"/>
        <v>10599005</v>
      </c>
      <c r="H266">
        <f t="shared" si="35"/>
        <v>258</v>
      </c>
      <c r="I266" s="15">
        <f t="shared" si="36"/>
        <v>216829</v>
      </c>
      <c r="J266" s="16">
        <f t="shared" si="39"/>
        <v>16422</v>
      </c>
      <c r="K266" s="15">
        <f t="shared" si="37"/>
        <v>200407</v>
      </c>
      <c r="L266" s="15">
        <f t="shared" si="38"/>
        <v>8757264</v>
      </c>
      <c r="O266" s="15"/>
      <c r="P266" s="16"/>
      <c r="Q266" s="15"/>
      <c r="R266" s="15"/>
    </row>
    <row r="267" spans="2:18" x14ac:dyDescent="0.55000000000000004">
      <c r="B267">
        <f t="shared" ref="B267:B330" si="40">B266+1</f>
        <v>259</v>
      </c>
      <c r="C267" s="15">
        <f t="shared" ref="C267:C330" si="41">C266</f>
        <v>272270</v>
      </c>
      <c r="D267" s="16">
        <f t="shared" ref="D267:D330" si="42">INT(F266*$D$3/12)</f>
        <v>37979</v>
      </c>
      <c r="E267" s="15">
        <f t="shared" ref="E267:E330" si="43">C267-D267</f>
        <v>234291</v>
      </c>
      <c r="F267" s="15">
        <f t="shared" ref="F267:F330" si="44">F266-E267</f>
        <v>10364714</v>
      </c>
      <c r="H267">
        <f t="shared" ref="H267:H330" si="45">H266+1</f>
        <v>259</v>
      </c>
      <c r="I267" s="15">
        <f t="shared" ref="I267:I330" si="46">I266</f>
        <v>216829</v>
      </c>
      <c r="J267" s="16">
        <f t="shared" si="39"/>
        <v>16054</v>
      </c>
      <c r="K267" s="15">
        <f t="shared" ref="K267:K330" si="47">I267-J267</f>
        <v>200775</v>
      </c>
      <c r="L267" s="15">
        <f t="shared" ref="L267:L330" si="48">L266-K267</f>
        <v>8556489</v>
      </c>
      <c r="O267" s="15"/>
      <c r="P267" s="16"/>
      <c r="Q267" s="15"/>
      <c r="R267" s="15"/>
    </row>
    <row r="268" spans="2:18" x14ac:dyDescent="0.55000000000000004">
      <c r="B268">
        <f t="shared" si="40"/>
        <v>260</v>
      </c>
      <c r="C268" s="15">
        <f t="shared" si="41"/>
        <v>272270</v>
      </c>
      <c r="D268" s="16">
        <f t="shared" si="42"/>
        <v>37140</v>
      </c>
      <c r="E268" s="15">
        <f t="shared" si="43"/>
        <v>235130</v>
      </c>
      <c r="F268" s="15">
        <f t="shared" si="44"/>
        <v>10129584</v>
      </c>
      <c r="H268">
        <f t="shared" si="45"/>
        <v>260</v>
      </c>
      <c r="I268" s="15">
        <f t="shared" si="46"/>
        <v>216829</v>
      </c>
      <c r="J268" s="16">
        <f t="shared" ref="J268:J331" si="49">INT(L267*$J$3/12)</f>
        <v>15686</v>
      </c>
      <c r="K268" s="15">
        <f t="shared" si="47"/>
        <v>201143</v>
      </c>
      <c r="L268" s="15">
        <f t="shared" si="48"/>
        <v>8355346</v>
      </c>
      <c r="O268" s="15"/>
      <c r="P268" s="16"/>
      <c r="Q268" s="15"/>
      <c r="R268" s="15"/>
    </row>
    <row r="269" spans="2:18" x14ac:dyDescent="0.55000000000000004">
      <c r="B269">
        <f t="shared" si="40"/>
        <v>261</v>
      </c>
      <c r="C269" s="15">
        <f t="shared" si="41"/>
        <v>272270</v>
      </c>
      <c r="D269" s="16">
        <f t="shared" si="42"/>
        <v>36297</v>
      </c>
      <c r="E269" s="15">
        <f t="shared" si="43"/>
        <v>235973</v>
      </c>
      <c r="F269" s="15">
        <f t="shared" si="44"/>
        <v>9893611</v>
      </c>
      <c r="H269">
        <f t="shared" si="45"/>
        <v>261</v>
      </c>
      <c r="I269" s="15">
        <f t="shared" si="46"/>
        <v>216829</v>
      </c>
      <c r="J269" s="16">
        <f t="shared" si="49"/>
        <v>15318</v>
      </c>
      <c r="K269" s="15">
        <f t="shared" si="47"/>
        <v>201511</v>
      </c>
      <c r="L269" s="15">
        <f t="shared" si="48"/>
        <v>8153835</v>
      </c>
      <c r="O269" s="15"/>
      <c r="P269" s="16"/>
      <c r="Q269" s="15"/>
      <c r="R269" s="15"/>
    </row>
    <row r="270" spans="2:18" x14ac:dyDescent="0.55000000000000004">
      <c r="B270">
        <f t="shared" si="40"/>
        <v>262</v>
      </c>
      <c r="C270" s="15">
        <f t="shared" si="41"/>
        <v>272270</v>
      </c>
      <c r="D270" s="16">
        <f t="shared" si="42"/>
        <v>35452</v>
      </c>
      <c r="E270" s="15">
        <f t="shared" si="43"/>
        <v>236818</v>
      </c>
      <c r="F270" s="15">
        <f t="shared" si="44"/>
        <v>9656793</v>
      </c>
      <c r="H270">
        <f t="shared" si="45"/>
        <v>262</v>
      </c>
      <c r="I270" s="15">
        <f t="shared" si="46"/>
        <v>216829</v>
      </c>
      <c r="J270" s="16">
        <f t="shared" si="49"/>
        <v>14948</v>
      </c>
      <c r="K270" s="15">
        <f t="shared" si="47"/>
        <v>201881</v>
      </c>
      <c r="L270" s="15">
        <f t="shared" si="48"/>
        <v>7951954</v>
      </c>
      <c r="O270" s="15"/>
      <c r="P270" s="16"/>
      <c r="Q270" s="15"/>
      <c r="R270" s="15"/>
    </row>
    <row r="271" spans="2:18" x14ac:dyDescent="0.55000000000000004">
      <c r="B271">
        <f t="shared" si="40"/>
        <v>263</v>
      </c>
      <c r="C271" s="15">
        <f t="shared" si="41"/>
        <v>272270</v>
      </c>
      <c r="D271" s="16">
        <f t="shared" si="42"/>
        <v>34603</v>
      </c>
      <c r="E271" s="15">
        <f t="shared" si="43"/>
        <v>237667</v>
      </c>
      <c r="F271" s="15">
        <f t="shared" si="44"/>
        <v>9419126</v>
      </c>
      <c r="H271">
        <f t="shared" si="45"/>
        <v>263</v>
      </c>
      <c r="I271" s="15">
        <f t="shared" si="46"/>
        <v>216829</v>
      </c>
      <c r="J271" s="16">
        <f t="shared" si="49"/>
        <v>14578</v>
      </c>
      <c r="K271" s="15">
        <f t="shared" si="47"/>
        <v>202251</v>
      </c>
      <c r="L271" s="15">
        <f t="shared" si="48"/>
        <v>7749703</v>
      </c>
      <c r="O271" s="15"/>
      <c r="P271" s="16"/>
      <c r="Q271" s="15"/>
      <c r="R271" s="15"/>
    </row>
    <row r="272" spans="2:18" x14ac:dyDescent="0.55000000000000004">
      <c r="B272">
        <f t="shared" si="40"/>
        <v>264</v>
      </c>
      <c r="C272" s="15">
        <f t="shared" si="41"/>
        <v>272270</v>
      </c>
      <c r="D272" s="16">
        <f t="shared" si="42"/>
        <v>33751</v>
      </c>
      <c r="E272" s="15">
        <f t="shared" si="43"/>
        <v>238519</v>
      </c>
      <c r="F272" s="15">
        <f t="shared" si="44"/>
        <v>9180607</v>
      </c>
      <c r="H272">
        <f t="shared" si="45"/>
        <v>264</v>
      </c>
      <c r="I272" s="15">
        <f t="shared" si="46"/>
        <v>216829</v>
      </c>
      <c r="J272" s="16">
        <f t="shared" si="49"/>
        <v>14207</v>
      </c>
      <c r="K272" s="15">
        <f t="shared" si="47"/>
        <v>202622</v>
      </c>
      <c r="L272" s="15">
        <f t="shared" si="48"/>
        <v>7547081</v>
      </c>
      <c r="O272" s="15"/>
      <c r="P272" s="16"/>
      <c r="Q272" s="15"/>
      <c r="R272" s="15"/>
    </row>
    <row r="273" spans="2:18" x14ac:dyDescent="0.55000000000000004">
      <c r="B273">
        <f t="shared" si="40"/>
        <v>265</v>
      </c>
      <c r="C273" s="15">
        <f t="shared" si="41"/>
        <v>272270</v>
      </c>
      <c r="D273" s="16">
        <f t="shared" si="42"/>
        <v>32897</v>
      </c>
      <c r="E273" s="15">
        <f t="shared" si="43"/>
        <v>239373</v>
      </c>
      <c r="F273" s="15">
        <f t="shared" si="44"/>
        <v>8941234</v>
      </c>
      <c r="H273">
        <f t="shared" si="45"/>
        <v>265</v>
      </c>
      <c r="I273" s="15">
        <f t="shared" si="46"/>
        <v>216829</v>
      </c>
      <c r="J273" s="16">
        <f t="shared" si="49"/>
        <v>13836</v>
      </c>
      <c r="K273" s="15">
        <f t="shared" si="47"/>
        <v>202993</v>
      </c>
      <c r="L273" s="15">
        <f t="shared" si="48"/>
        <v>7344088</v>
      </c>
      <c r="O273" s="15"/>
      <c r="P273" s="16"/>
      <c r="Q273" s="15"/>
      <c r="R273" s="15"/>
    </row>
    <row r="274" spans="2:18" x14ac:dyDescent="0.55000000000000004">
      <c r="B274">
        <f t="shared" si="40"/>
        <v>266</v>
      </c>
      <c r="C274" s="15">
        <f t="shared" si="41"/>
        <v>272270</v>
      </c>
      <c r="D274" s="16">
        <f t="shared" si="42"/>
        <v>32039</v>
      </c>
      <c r="E274" s="15">
        <f t="shared" si="43"/>
        <v>240231</v>
      </c>
      <c r="F274" s="15">
        <f t="shared" si="44"/>
        <v>8701003</v>
      </c>
      <c r="H274">
        <f t="shared" si="45"/>
        <v>266</v>
      </c>
      <c r="I274" s="15">
        <f t="shared" si="46"/>
        <v>216829</v>
      </c>
      <c r="J274" s="16">
        <f t="shared" si="49"/>
        <v>13464</v>
      </c>
      <c r="K274" s="15">
        <f t="shared" si="47"/>
        <v>203365</v>
      </c>
      <c r="L274" s="15">
        <f t="shared" si="48"/>
        <v>7140723</v>
      </c>
      <c r="O274" s="15"/>
      <c r="P274" s="16"/>
      <c r="Q274" s="15"/>
      <c r="R274" s="15"/>
    </row>
    <row r="275" spans="2:18" x14ac:dyDescent="0.55000000000000004">
      <c r="B275">
        <f t="shared" si="40"/>
        <v>267</v>
      </c>
      <c r="C275" s="15">
        <f t="shared" si="41"/>
        <v>272270</v>
      </c>
      <c r="D275" s="16">
        <f t="shared" si="42"/>
        <v>31178</v>
      </c>
      <c r="E275" s="15">
        <f t="shared" si="43"/>
        <v>241092</v>
      </c>
      <c r="F275" s="15">
        <f t="shared" si="44"/>
        <v>8459911</v>
      </c>
      <c r="H275">
        <f t="shared" si="45"/>
        <v>267</v>
      </c>
      <c r="I275" s="15">
        <f t="shared" si="46"/>
        <v>216829</v>
      </c>
      <c r="J275" s="16">
        <f t="shared" si="49"/>
        <v>13091</v>
      </c>
      <c r="K275" s="15">
        <f t="shared" si="47"/>
        <v>203738</v>
      </c>
      <c r="L275" s="15">
        <f t="shared" si="48"/>
        <v>6936985</v>
      </c>
      <c r="O275" s="15"/>
      <c r="P275" s="16"/>
      <c r="Q275" s="15"/>
      <c r="R275" s="15"/>
    </row>
    <row r="276" spans="2:18" x14ac:dyDescent="0.55000000000000004">
      <c r="B276">
        <f t="shared" si="40"/>
        <v>268</v>
      </c>
      <c r="C276" s="15">
        <f t="shared" si="41"/>
        <v>272270</v>
      </c>
      <c r="D276" s="16">
        <f t="shared" si="42"/>
        <v>30314</v>
      </c>
      <c r="E276" s="15">
        <f t="shared" si="43"/>
        <v>241956</v>
      </c>
      <c r="F276" s="15">
        <f t="shared" si="44"/>
        <v>8217955</v>
      </c>
      <c r="H276">
        <f t="shared" si="45"/>
        <v>268</v>
      </c>
      <c r="I276" s="15">
        <f t="shared" si="46"/>
        <v>216829</v>
      </c>
      <c r="J276" s="16">
        <f t="shared" si="49"/>
        <v>12717</v>
      </c>
      <c r="K276" s="15">
        <f t="shared" si="47"/>
        <v>204112</v>
      </c>
      <c r="L276" s="15">
        <f t="shared" si="48"/>
        <v>6732873</v>
      </c>
      <c r="O276" s="15"/>
      <c r="P276" s="16"/>
      <c r="Q276" s="15"/>
      <c r="R276" s="15"/>
    </row>
    <row r="277" spans="2:18" x14ac:dyDescent="0.55000000000000004">
      <c r="B277">
        <f t="shared" si="40"/>
        <v>269</v>
      </c>
      <c r="C277" s="15">
        <f t="shared" si="41"/>
        <v>272270</v>
      </c>
      <c r="D277" s="16">
        <f t="shared" si="42"/>
        <v>29447</v>
      </c>
      <c r="E277" s="15">
        <f t="shared" si="43"/>
        <v>242823</v>
      </c>
      <c r="F277" s="15">
        <f t="shared" si="44"/>
        <v>7975132</v>
      </c>
      <c r="H277">
        <f t="shared" si="45"/>
        <v>269</v>
      </c>
      <c r="I277" s="15">
        <f t="shared" si="46"/>
        <v>216829</v>
      </c>
      <c r="J277" s="16">
        <f t="shared" si="49"/>
        <v>12343</v>
      </c>
      <c r="K277" s="15">
        <f t="shared" si="47"/>
        <v>204486</v>
      </c>
      <c r="L277" s="15">
        <f t="shared" si="48"/>
        <v>6528387</v>
      </c>
      <c r="O277" s="15"/>
      <c r="P277" s="16"/>
      <c r="Q277" s="15"/>
      <c r="R277" s="15"/>
    </row>
    <row r="278" spans="2:18" x14ac:dyDescent="0.55000000000000004">
      <c r="B278">
        <f t="shared" si="40"/>
        <v>270</v>
      </c>
      <c r="C278" s="15">
        <f t="shared" si="41"/>
        <v>272270</v>
      </c>
      <c r="D278" s="16">
        <f t="shared" si="42"/>
        <v>28577</v>
      </c>
      <c r="E278" s="15">
        <f t="shared" si="43"/>
        <v>243693</v>
      </c>
      <c r="F278" s="15">
        <f t="shared" si="44"/>
        <v>7731439</v>
      </c>
      <c r="H278">
        <f t="shared" si="45"/>
        <v>270</v>
      </c>
      <c r="I278" s="15">
        <f t="shared" si="46"/>
        <v>216829</v>
      </c>
      <c r="J278" s="16">
        <f t="shared" si="49"/>
        <v>11968</v>
      </c>
      <c r="K278" s="15">
        <f t="shared" si="47"/>
        <v>204861</v>
      </c>
      <c r="L278" s="15">
        <f t="shared" si="48"/>
        <v>6323526</v>
      </c>
      <c r="O278" s="15"/>
      <c r="P278" s="16"/>
      <c r="Q278" s="15"/>
      <c r="R278" s="15"/>
    </row>
    <row r="279" spans="2:18" x14ac:dyDescent="0.55000000000000004">
      <c r="B279">
        <f t="shared" si="40"/>
        <v>271</v>
      </c>
      <c r="C279" s="15">
        <f t="shared" si="41"/>
        <v>272270</v>
      </c>
      <c r="D279" s="16">
        <f t="shared" si="42"/>
        <v>27704</v>
      </c>
      <c r="E279" s="15">
        <f t="shared" si="43"/>
        <v>244566</v>
      </c>
      <c r="F279" s="15">
        <f t="shared" si="44"/>
        <v>7486873</v>
      </c>
      <c r="H279">
        <f t="shared" si="45"/>
        <v>271</v>
      </c>
      <c r="I279" s="15">
        <f t="shared" si="46"/>
        <v>216829</v>
      </c>
      <c r="J279" s="16">
        <f t="shared" si="49"/>
        <v>11593</v>
      </c>
      <c r="K279" s="15">
        <f t="shared" si="47"/>
        <v>205236</v>
      </c>
      <c r="L279" s="15">
        <f t="shared" si="48"/>
        <v>6118290</v>
      </c>
      <c r="O279" s="15"/>
      <c r="P279" s="16"/>
      <c r="Q279" s="15"/>
      <c r="R279" s="15"/>
    </row>
    <row r="280" spans="2:18" x14ac:dyDescent="0.55000000000000004">
      <c r="B280">
        <f t="shared" si="40"/>
        <v>272</v>
      </c>
      <c r="C280" s="15">
        <f t="shared" si="41"/>
        <v>272270</v>
      </c>
      <c r="D280" s="16">
        <f t="shared" si="42"/>
        <v>26827</v>
      </c>
      <c r="E280" s="15">
        <f t="shared" si="43"/>
        <v>245443</v>
      </c>
      <c r="F280" s="15">
        <f t="shared" si="44"/>
        <v>7241430</v>
      </c>
      <c r="H280">
        <f t="shared" si="45"/>
        <v>272</v>
      </c>
      <c r="I280" s="15">
        <f t="shared" si="46"/>
        <v>216829</v>
      </c>
      <c r="J280" s="16">
        <f t="shared" si="49"/>
        <v>11216</v>
      </c>
      <c r="K280" s="15">
        <f t="shared" si="47"/>
        <v>205613</v>
      </c>
      <c r="L280" s="15">
        <f t="shared" si="48"/>
        <v>5912677</v>
      </c>
      <c r="O280" s="15"/>
      <c r="P280" s="16"/>
      <c r="Q280" s="15"/>
      <c r="R280" s="15"/>
    </row>
    <row r="281" spans="2:18" x14ac:dyDescent="0.55000000000000004">
      <c r="B281">
        <f t="shared" si="40"/>
        <v>273</v>
      </c>
      <c r="C281" s="15">
        <f t="shared" si="41"/>
        <v>272270</v>
      </c>
      <c r="D281" s="16">
        <f t="shared" si="42"/>
        <v>25948</v>
      </c>
      <c r="E281" s="15">
        <f t="shared" si="43"/>
        <v>246322</v>
      </c>
      <c r="F281" s="15">
        <f t="shared" si="44"/>
        <v>6995108</v>
      </c>
      <c r="H281">
        <f t="shared" si="45"/>
        <v>273</v>
      </c>
      <c r="I281" s="15">
        <f t="shared" si="46"/>
        <v>216829</v>
      </c>
      <c r="J281" s="16">
        <f t="shared" si="49"/>
        <v>10839</v>
      </c>
      <c r="K281" s="15">
        <f t="shared" si="47"/>
        <v>205990</v>
      </c>
      <c r="L281" s="15">
        <f t="shared" si="48"/>
        <v>5706687</v>
      </c>
      <c r="O281" s="15"/>
      <c r="P281" s="16"/>
      <c r="Q281" s="15"/>
      <c r="R281" s="15"/>
    </row>
    <row r="282" spans="2:18" x14ac:dyDescent="0.55000000000000004">
      <c r="B282">
        <f t="shared" si="40"/>
        <v>274</v>
      </c>
      <c r="C282" s="15">
        <f t="shared" si="41"/>
        <v>272270</v>
      </c>
      <c r="D282" s="16">
        <f t="shared" si="42"/>
        <v>25065</v>
      </c>
      <c r="E282" s="15">
        <f t="shared" si="43"/>
        <v>247205</v>
      </c>
      <c r="F282" s="15">
        <f t="shared" si="44"/>
        <v>6747903</v>
      </c>
      <c r="H282">
        <f t="shared" si="45"/>
        <v>274</v>
      </c>
      <c r="I282" s="15">
        <f t="shared" si="46"/>
        <v>216829</v>
      </c>
      <c r="J282" s="16">
        <f t="shared" si="49"/>
        <v>10462</v>
      </c>
      <c r="K282" s="15">
        <f t="shared" si="47"/>
        <v>206367</v>
      </c>
      <c r="L282" s="15">
        <f t="shared" si="48"/>
        <v>5500320</v>
      </c>
      <c r="O282" s="15"/>
      <c r="P282" s="16"/>
      <c r="Q282" s="15"/>
      <c r="R282" s="15"/>
    </row>
    <row r="283" spans="2:18" x14ac:dyDescent="0.55000000000000004">
      <c r="B283">
        <f t="shared" si="40"/>
        <v>275</v>
      </c>
      <c r="C283" s="15">
        <f t="shared" si="41"/>
        <v>272270</v>
      </c>
      <c r="D283" s="16">
        <f t="shared" si="42"/>
        <v>24179</v>
      </c>
      <c r="E283" s="15">
        <f t="shared" si="43"/>
        <v>248091</v>
      </c>
      <c r="F283" s="15">
        <f t="shared" si="44"/>
        <v>6499812</v>
      </c>
      <c r="H283">
        <f t="shared" si="45"/>
        <v>275</v>
      </c>
      <c r="I283" s="15">
        <f t="shared" si="46"/>
        <v>216829</v>
      </c>
      <c r="J283" s="16">
        <f t="shared" si="49"/>
        <v>10083</v>
      </c>
      <c r="K283" s="15">
        <f t="shared" si="47"/>
        <v>206746</v>
      </c>
      <c r="L283" s="15">
        <f t="shared" si="48"/>
        <v>5293574</v>
      </c>
      <c r="O283" s="15"/>
      <c r="P283" s="16"/>
      <c r="Q283" s="15"/>
      <c r="R283" s="15"/>
    </row>
    <row r="284" spans="2:18" x14ac:dyDescent="0.55000000000000004">
      <c r="B284">
        <f t="shared" si="40"/>
        <v>276</v>
      </c>
      <c r="C284" s="15">
        <f t="shared" si="41"/>
        <v>272270</v>
      </c>
      <c r="D284" s="16">
        <f t="shared" si="42"/>
        <v>23290</v>
      </c>
      <c r="E284" s="15">
        <f t="shared" si="43"/>
        <v>248980</v>
      </c>
      <c r="F284" s="15">
        <f t="shared" si="44"/>
        <v>6250832</v>
      </c>
      <c r="H284">
        <f t="shared" si="45"/>
        <v>276</v>
      </c>
      <c r="I284" s="15">
        <f t="shared" si="46"/>
        <v>216829</v>
      </c>
      <c r="J284" s="16">
        <f t="shared" si="49"/>
        <v>9704</v>
      </c>
      <c r="K284" s="15">
        <f t="shared" si="47"/>
        <v>207125</v>
      </c>
      <c r="L284" s="15">
        <f t="shared" si="48"/>
        <v>5086449</v>
      </c>
      <c r="O284" s="15"/>
      <c r="P284" s="16"/>
      <c r="Q284" s="15"/>
      <c r="R284" s="15"/>
    </row>
    <row r="285" spans="2:18" x14ac:dyDescent="0.55000000000000004">
      <c r="B285">
        <f t="shared" si="40"/>
        <v>277</v>
      </c>
      <c r="C285" s="15">
        <f t="shared" si="41"/>
        <v>272270</v>
      </c>
      <c r="D285" s="16">
        <f t="shared" si="42"/>
        <v>22398</v>
      </c>
      <c r="E285" s="15">
        <f t="shared" si="43"/>
        <v>249872</v>
      </c>
      <c r="F285" s="15">
        <f t="shared" si="44"/>
        <v>6000960</v>
      </c>
      <c r="H285">
        <f t="shared" si="45"/>
        <v>277</v>
      </c>
      <c r="I285" s="15">
        <f t="shared" si="46"/>
        <v>216829</v>
      </c>
      <c r="J285" s="16">
        <f t="shared" si="49"/>
        <v>9325</v>
      </c>
      <c r="K285" s="15">
        <f t="shared" si="47"/>
        <v>207504</v>
      </c>
      <c r="L285" s="15">
        <f t="shared" si="48"/>
        <v>4878945</v>
      </c>
      <c r="O285" s="15"/>
      <c r="P285" s="16"/>
      <c r="Q285" s="15"/>
      <c r="R285" s="15"/>
    </row>
    <row r="286" spans="2:18" x14ac:dyDescent="0.55000000000000004">
      <c r="B286">
        <f t="shared" si="40"/>
        <v>278</v>
      </c>
      <c r="C286" s="15">
        <f t="shared" si="41"/>
        <v>272270</v>
      </c>
      <c r="D286" s="16">
        <f t="shared" si="42"/>
        <v>21503</v>
      </c>
      <c r="E286" s="15">
        <f t="shared" si="43"/>
        <v>250767</v>
      </c>
      <c r="F286" s="15">
        <f t="shared" si="44"/>
        <v>5750193</v>
      </c>
      <c r="H286">
        <f t="shared" si="45"/>
        <v>278</v>
      </c>
      <c r="I286" s="15">
        <f t="shared" si="46"/>
        <v>216829</v>
      </c>
      <c r="J286" s="16">
        <f t="shared" si="49"/>
        <v>8944</v>
      </c>
      <c r="K286" s="15">
        <f t="shared" si="47"/>
        <v>207885</v>
      </c>
      <c r="L286" s="15">
        <f t="shared" si="48"/>
        <v>4671060</v>
      </c>
      <c r="O286" s="15"/>
      <c r="P286" s="16"/>
      <c r="Q286" s="15"/>
      <c r="R286" s="15"/>
    </row>
    <row r="287" spans="2:18" x14ac:dyDescent="0.55000000000000004">
      <c r="B287">
        <f t="shared" si="40"/>
        <v>279</v>
      </c>
      <c r="C287" s="15">
        <f t="shared" si="41"/>
        <v>272270</v>
      </c>
      <c r="D287" s="16">
        <f t="shared" si="42"/>
        <v>20604</v>
      </c>
      <c r="E287" s="15">
        <f t="shared" si="43"/>
        <v>251666</v>
      </c>
      <c r="F287" s="15">
        <f t="shared" si="44"/>
        <v>5498527</v>
      </c>
      <c r="H287">
        <f t="shared" si="45"/>
        <v>279</v>
      </c>
      <c r="I287" s="15">
        <f t="shared" si="46"/>
        <v>216829</v>
      </c>
      <c r="J287" s="16">
        <f t="shared" si="49"/>
        <v>8563</v>
      </c>
      <c r="K287" s="15">
        <f t="shared" si="47"/>
        <v>208266</v>
      </c>
      <c r="L287" s="15">
        <f t="shared" si="48"/>
        <v>4462794</v>
      </c>
      <c r="O287" s="15"/>
      <c r="P287" s="16"/>
      <c r="Q287" s="15"/>
      <c r="R287" s="15"/>
    </row>
    <row r="288" spans="2:18" x14ac:dyDescent="0.55000000000000004">
      <c r="B288">
        <f t="shared" si="40"/>
        <v>280</v>
      </c>
      <c r="C288" s="15">
        <f t="shared" si="41"/>
        <v>272270</v>
      </c>
      <c r="D288" s="16">
        <f t="shared" si="42"/>
        <v>19703</v>
      </c>
      <c r="E288" s="15">
        <f t="shared" si="43"/>
        <v>252567</v>
      </c>
      <c r="F288" s="15">
        <f t="shared" si="44"/>
        <v>5245960</v>
      </c>
      <c r="H288">
        <f t="shared" si="45"/>
        <v>280</v>
      </c>
      <c r="I288" s="15">
        <f t="shared" si="46"/>
        <v>216829</v>
      </c>
      <c r="J288" s="16">
        <f t="shared" si="49"/>
        <v>8181</v>
      </c>
      <c r="K288" s="15">
        <f t="shared" si="47"/>
        <v>208648</v>
      </c>
      <c r="L288" s="15">
        <f t="shared" si="48"/>
        <v>4254146</v>
      </c>
      <c r="O288" s="15"/>
      <c r="P288" s="16"/>
      <c r="Q288" s="15"/>
      <c r="R288" s="15"/>
    </row>
    <row r="289" spans="2:18" x14ac:dyDescent="0.55000000000000004">
      <c r="B289">
        <f t="shared" si="40"/>
        <v>281</v>
      </c>
      <c r="C289" s="15">
        <f t="shared" si="41"/>
        <v>272270</v>
      </c>
      <c r="D289" s="16">
        <f t="shared" si="42"/>
        <v>18798</v>
      </c>
      <c r="E289" s="15">
        <f t="shared" si="43"/>
        <v>253472</v>
      </c>
      <c r="F289" s="15">
        <f t="shared" si="44"/>
        <v>4992488</v>
      </c>
      <c r="H289">
        <f t="shared" si="45"/>
        <v>281</v>
      </c>
      <c r="I289" s="15">
        <f t="shared" si="46"/>
        <v>216829</v>
      </c>
      <c r="J289" s="16">
        <f t="shared" si="49"/>
        <v>7799</v>
      </c>
      <c r="K289" s="15">
        <f t="shared" si="47"/>
        <v>209030</v>
      </c>
      <c r="L289" s="15">
        <f t="shared" si="48"/>
        <v>4045116</v>
      </c>
      <c r="O289" s="15"/>
      <c r="P289" s="16"/>
      <c r="Q289" s="15"/>
      <c r="R289" s="15"/>
    </row>
    <row r="290" spans="2:18" x14ac:dyDescent="0.55000000000000004">
      <c r="B290">
        <f t="shared" si="40"/>
        <v>282</v>
      </c>
      <c r="C290" s="15">
        <f t="shared" si="41"/>
        <v>272270</v>
      </c>
      <c r="D290" s="16">
        <f t="shared" si="42"/>
        <v>17889</v>
      </c>
      <c r="E290" s="15">
        <f t="shared" si="43"/>
        <v>254381</v>
      </c>
      <c r="F290" s="15">
        <f t="shared" si="44"/>
        <v>4738107</v>
      </c>
      <c r="H290">
        <f t="shared" si="45"/>
        <v>282</v>
      </c>
      <c r="I290" s="15">
        <f t="shared" si="46"/>
        <v>216829</v>
      </c>
      <c r="J290" s="16">
        <f t="shared" si="49"/>
        <v>7416</v>
      </c>
      <c r="K290" s="15">
        <f t="shared" si="47"/>
        <v>209413</v>
      </c>
      <c r="L290" s="15">
        <f t="shared" si="48"/>
        <v>3835703</v>
      </c>
      <c r="O290" s="15"/>
      <c r="P290" s="16"/>
      <c r="Q290" s="15"/>
      <c r="R290" s="15"/>
    </row>
    <row r="291" spans="2:18" x14ac:dyDescent="0.55000000000000004">
      <c r="B291">
        <f t="shared" si="40"/>
        <v>283</v>
      </c>
      <c r="C291" s="15">
        <f t="shared" si="41"/>
        <v>272270</v>
      </c>
      <c r="D291" s="16">
        <f t="shared" si="42"/>
        <v>16978</v>
      </c>
      <c r="E291" s="15">
        <f t="shared" si="43"/>
        <v>255292</v>
      </c>
      <c r="F291" s="15">
        <f t="shared" si="44"/>
        <v>4482815</v>
      </c>
      <c r="H291">
        <f t="shared" si="45"/>
        <v>283</v>
      </c>
      <c r="I291" s="15">
        <f t="shared" si="46"/>
        <v>216829</v>
      </c>
      <c r="J291" s="16">
        <f t="shared" si="49"/>
        <v>7032</v>
      </c>
      <c r="K291" s="15">
        <f t="shared" si="47"/>
        <v>209797</v>
      </c>
      <c r="L291" s="15">
        <f t="shared" si="48"/>
        <v>3625906</v>
      </c>
      <c r="O291" s="15"/>
      <c r="P291" s="16"/>
      <c r="Q291" s="15"/>
      <c r="R291" s="15"/>
    </row>
    <row r="292" spans="2:18" x14ac:dyDescent="0.55000000000000004">
      <c r="B292">
        <f t="shared" si="40"/>
        <v>284</v>
      </c>
      <c r="C292" s="15">
        <f t="shared" si="41"/>
        <v>272270</v>
      </c>
      <c r="D292" s="16">
        <f t="shared" si="42"/>
        <v>16063</v>
      </c>
      <c r="E292" s="15">
        <f t="shared" si="43"/>
        <v>256207</v>
      </c>
      <c r="F292" s="15">
        <f t="shared" si="44"/>
        <v>4226608</v>
      </c>
      <c r="H292">
        <f t="shared" si="45"/>
        <v>284</v>
      </c>
      <c r="I292" s="15">
        <f t="shared" si="46"/>
        <v>216829</v>
      </c>
      <c r="J292" s="16">
        <f t="shared" si="49"/>
        <v>6647</v>
      </c>
      <c r="K292" s="15">
        <f t="shared" si="47"/>
        <v>210182</v>
      </c>
      <c r="L292" s="15">
        <f t="shared" si="48"/>
        <v>3415724</v>
      </c>
      <c r="O292" s="15"/>
      <c r="P292" s="16"/>
      <c r="Q292" s="15"/>
      <c r="R292" s="15"/>
    </row>
    <row r="293" spans="2:18" x14ac:dyDescent="0.55000000000000004">
      <c r="B293">
        <f t="shared" si="40"/>
        <v>285</v>
      </c>
      <c r="C293" s="15">
        <f t="shared" si="41"/>
        <v>272270</v>
      </c>
      <c r="D293" s="16">
        <f t="shared" si="42"/>
        <v>15145</v>
      </c>
      <c r="E293" s="15">
        <f t="shared" si="43"/>
        <v>257125</v>
      </c>
      <c r="F293" s="15">
        <f t="shared" si="44"/>
        <v>3969483</v>
      </c>
      <c r="H293">
        <f t="shared" si="45"/>
        <v>285</v>
      </c>
      <c r="I293" s="15">
        <f t="shared" si="46"/>
        <v>216829</v>
      </c>
      <c r="J293" s="16">
        <f t="shared" si="49"/>
        <v>6262</v>
      </c>
      <c r="K293" s="15">
        <f t="shared" si="47"/>
        <v>210567</v>
      </c>
      <c r="L293" s="15">
        <f t="shared" si="48"/>
        <v>3205157</v>
      </c>
      <c r="O293" s="15"/>
      <c r="P293" s="16"/>
      <c r="Q293" s="15"/>
      <c r="R293" s="15"/>
    </row>
    <row r="294" spans="2:18" x14ac:dyDescent="0.55000000000000004">
      <c r="B294">
        <f t="shared" si="40"/>
        <v>286</v>
      </c>
      <c r="C294" s="15">
        <f t="shared" si="41"/>
        <v>272270</v>
      </c>
      <c r="D294" s="16">
        <f t="shared" si="42"/>
        <v>14223</v>
      </c>
      <c r="E294" s="15">
        <f t="shared" si="43"/>
        <v>258047</v>
      </c>
      <c r="F294" s="15">
        <f t="shared" si="44"/>
        <v>3711436</v>
      </c>
      <c r="H294">
        <f t="shared" si="45"/>
        <v>286</v>
      </c>
      <c r="I294" s="15">
        <f t="shared" si="46"/>
        <v>216829</v>
      </c>
      <c r="J294" s="16">
        <f t="shared" si="49"/>
        <v>5876</v>
      </c>
      <c r="K294" s="15">
        <f t="shared" si="47"/>
        <v>210953</v>
      </c>
      <c r="L294" s="15">
        <f t="shared" si="48"/>
        <v>2994204</v>
      </c>
      <c r="O294" s="15"/>
      <c r="P294" s="16"/>
      <c r="Q294" s="15"/>
      <c r="R294" s="15"/>
    </row>
    <row r="295" spans="2:18" x14ac:dyDescent="0.55000000000000004">
      <c r="B295">
        <f t="shared" si="40"/>
        <v>287</v>
      </c>
      <c r="C295" s="15">
        <f t="shared" si="41"/>
        <v>272270</v>
      </c>
      <c r="D295" s="16">
        <f t="shared" si="42"/>
        <v>13299</v>
      </c>
      <c r="E295" s="15">
        <f t="shared" si="43"/>
        <v>258971</v>
      </c>
      <c r="F295" s="15">
        <f t="shared" si="44"/>
        <v>3452465</v>
      </c>
      <c r="H295">
        <f t="shared" si="45"/>
        <v>287</v>
      </c>
      <c r="I295" s="15">
        <f t="shared" si="46"/>
        <v>216829</v>
      </c>
      <c r="J295" s="16">
        <f t="shared" si="49"/>
        <v>5489</v>
      </c>
      <c r="K295" s="15">
        <f t="shared" si="47"/>
        <v>211340</v>
      </c>
      <c r="L295" s="15">
        <f t="shared" si="48"/>
        <v>2782864</v>
      </c>
      <c r="O295" s="15"/>
      <c r="P295" s="16"/>
      <c r="Q295" s="15"/>
      <c r="R295" s="15"/>
    </row>
    <row r="296" spans="2:18" x14ac:dyDescent="0.55000000000000004">
      <c r="B296">
        <f t="shared" si="40"/>
        <v>288</v>
      </c>
      <c r="C296" s="15">
        <f t="shared" si="41"/>
        <v>272270</v>
      </c>
      <c r="D296" s="16">
        <f t="shared" si="42"/>
        <v>12371</v>
      </c>
      <c r="E296" s="15">
        <f t="shared" si="43"/>
        <v>259899</v>
      </c>
      <c r="F296" s="15">
        <f t="shared" si="44"/>
        <v>3192566</v>
      </c>
      <c r="H296">
        <f t="shared" si="45"/>
        <v>288</v>
      </c>
      <c r="I296" s="15">
        <f t="shared" si="46"/>
        <v>216829</v>
      </c>
      <c r="J296" s="16">
        <f t="shared" si="49"/>
        <v>5101</v>
      </c>
      <c r="K296" s="15">
        <f t="shared" si="47"/>
        <v>211728</v>
      </c>
      <c r="L296" s="15">
        <f t="shared" si="48"/>
        <v>2571136</v>
      </c>
      <c r="O296" s="15"/>
      <c r="P296" s="16"/>
      <c r="Q296" s="15"/>
      <c r="R296" s="15"/>
    </row>
    <row r="297" spans="2:18" x14ac:dyDescent="0.55000000000000004">
      <c r="B297">
        <f t="shared" si="40"/>
        <v>289</v>
      </c>
      <c r="C297" s="15">
        <f t="shared" si="41"/>
        <v>272270</v>
      </c>
      <c r="D297" s="16">
        <f t="shared" si="42"/>
        <v>11440</v>
      </c>
      <c r="E297" s="15">
        <f t="shared" si="43"/>
        <v>260830</v>
      </c>
      <c r="F297" s="15">
        <f t="shared" si="44"/>
        <v>2931736</v>
      </c>
      <c r="H297">
        <f t="shared" si="45"/>
        <v>289</v>
      </c>
      <c r="I297" s="15">
        <f t="shared" si="46"/>
        <v>216829</v>
      </c>
      <c r="J297" s="16">
        <f t="shared" si="49"/>
        <v>4713</v>
      </c>
      <c r="K297" s="15">
        <f t="shared" si="47"/>
        <v>212116</v>
      </c>
      <c r="L297" s="15">
        <f t="shared" si="48"/>
        <v>2359020</v>
      </c>
      <c r="O297" s="15"/>
      <c r="P297" s="16"/>
      <c r="Q297" s="15"/>
      <c r="R297" s="15"/>
    </row>
    <row r="298" spans="2:18" x14ac:dyDescent="0.55000000000000004">
      <c r="B298">
        <f t="shared" si="40"/>
        <v>290</v>
      </c>
      <c r="C298" s="15">
        <f t="shared" si="41"/>
        <v>272270</v>
      </c>
      <c r="D298" s="16">
        <f t="shared" si="42"/>
        <v>10505</v>
      </c>
      <c r="E298" s="15">
        <f t="shared" si="43"/>
        <v>261765</v>
      </c>
      <c r="F298" s="15">
        <f t="shared" si="44"/>
        <v>2669971</v>
      </c>
      <c r="H298">
        <f t="shared" si="45"/>
        <v>290</v>
      </c>
      <c r="I298" s="15">
        <f t="shared" si="46"/>
        <v>216829</v>
      </c>
      <c r="J298" s="16">
        <f t="shared" si="49"/>
        <v>4324</v>
      </c>
      <c r="K298" s="15">
        <f t="shared" si="47"/>
        <v>212505</v>
      </c>
      <c r="L298" s="15">
        <f t="shared" si="48"/>
        <v>2146515</v>
      </c>
      <c r="O298" s="15"/>
      <c r="P298" s="16"/>
      <c r="Q298" s="15"/>
      <c r="R298" s="15"/>
    </row>
    <row r="299" spans="2:18" x14ac:dyDescent="0.55000000000000004">
      <c r="B299">
        <f t="shared" si="40"/>
        <v>291</v>
      </c>
      <c r="C299" s="15">
        <f t="shared" si="41"/>
        <v>272270</v>
      </c>
      <c r="D299" s="16">
        <f t="shared" si="42"/>
        <v>9567</v>
      </c>
      <c r="E299" s="15">
        <f t="shared" si="43"/>
        <v>262703</v>
      </c>
      <c r="F299" s="15">
        <f t="shared" si="44"/>
        <v>2407268</v>
      </c>
      <c r="H299">
        <f t="shared" si="45"/>
        <v>291</v>
      </c>
      <c r="I299" s="15">
        <f t="shared" si="46"/>
        <v>216829</v>
      </c>
      <c r="J299" s="16">
        <f t="shared" si="49"/>
        <v>3935</v>
      </c>
      <c r="K299" s="15">
        <f t="shared" si="47"/>
        <v>212894</v>
      </c>
      <c r="L299" s="15">
        <f t="shared" si="48"/>
        <v>1933621</v>
      </c>
      <c r="O299" s="15"/>
      <c r="P299" s="16"/>
      <c r="Q299" s="15"/>
      <c r="R299" s="15"/>
    </row>
    <row r="300" spans="2:18" x14ac:dyDescent="0.55000000000000004">
      <c r="B300">
        <f t="shared" si="40"/>
        <v>292</v>
      </c>
      <c r="C300" s="15">
        <f t="shared" si="41"/>
        <v>272270</v>
      </c>
      <c r="D300" s="16">
        <f t="shared" si="42"/>
        <v>8626</v>
      </c>
      <c r="E300" s="15">
        <f t="shared" si="43"/>
        <v>263644</v>
      </c>
      <c r="F300" s="15">
        <f t="shared" si="44"/>
        <v>2143624</v>
      </c>
      <c r="H300">
        <f t="shared" si="45"/>
        <v>292</v>
      </c>
      <c r="I300" s="15">
        <f t="shared" si="46"/>
        <v>216829</v>
      </c>
      <c r="J300" s="16">
        <f t="shared" si="49"/>
        <v>3544</v>
      </c>
      <c r="K300" s="15">
        <f t="shared" si="47"/>
        <v>213285</v>
      </c>
      <c r="L300" s="15">
        <f t="shared" si="48"/>
        <v>1720336</v>
      </c>
      <c r="O300" s="15"/>
      <c r="P300" s="16"/>
      <c r="Q300" s="15"/>
      <c r="R300" s="15"/>
    </row>
    <row r="301" spans="2:18" x14ac:dyDescent="0.55000000000000004">
      <c r="B301">
        <f t="shared" si="40"/>
        <v>293</v>
      </c>
      <c r="C301" s="15">
        <f t="shared" si="41"/>
        <v>272270</v>
      </c>
      <c r="D301" s="16">
        <f t="shared" si="42"/>
        <v>7681</v>
      </c>
      <c r="E301" s="15">
        <f t="shared" si="43"/>
        <v>264589</v>
      </c>
      <c r="F301" s="15">
        <f t="shared" si="44"/>
        <v>1879035</v>
      </c>
      <c r="H301">
        <f t="shared" si="45"/>
        <v>293</v>
      </c>
      <c r="I301" s="15">
        <f t="shared" si="46"/>
        <v>216829</v>
      </c>
      <c r="J301" s="16">
        <f t="shared" si="49"/>
        <v>3153</v>
      </c>
      <c r="K301" s="15">
        <f t="shared" si="47"/>
        <v>213676</v>
      </c>
      <c r="L301" s="15">
        <f t="shared" si="48"/>
        <v>1506660</v>
      </c>
      <c r="O301" s="15"/>
      <c r="P301" s="16"/>
      <c r="Q301" s="15"/>
      <c r="R301" s="15"/>
    </row>
    <row r="302" spans="2:18" x14ac:dyDescent="0.55000000000000004">
      <c r="B302">
        <f t="shared" si="40"/>
        <v>294</v>
      </c>
      <c r="C302" s="15">
        <f t="shared" si="41"/>
        <v>272270</v>
      </c>
      <c r="D302" s="16">
        <f t="shared" si="42"/>
        <v>6733</v>
      </c>
      <c r="E302" s="15">
        <f t="shared" si="43"/>
        <v>265537</v>
      </c>
      <c r="F302" s="15">
        <f t="shared" si="44"/>
        <v>1613498</v>
      </c>
      <c r="H302">
        <f t="shared" si="45"/>
        <v>294</v>
      </c>
      <c r="I302" s="15">
        <f t="shared" si="46"/>
        <v>216829</v>
      </c>
      <c r="J302" s="16">
        <f t="shared" si="49"/>
        <v>2762</v>
      </c>
      <c r="K302" s="15">
        <f t="shared" si="47"/>
        <v>214067</v>
      </c>
      <c r="L302" s="15">
        <f t="shared" si="48"/>
        <v>1292593</v>
      </c>
      <c r="O302" s="15"/>
      <c r="P302" s="16"/>
      <c r="Q302" s="15"/>
      <c r="R302" s="15"/>
    </row>
    <row r="303" spans="2:18" x14ac:dyDescent="0.55000000000000004">
      <c r="B303">
        <f t="shared" si="40"/>
        <v>295</v>
      </c>
      <c r="C303" s="15">
        <f t="shared" si="41"/>
        <v>272270</v>
      </c>
      <c r="D303" s="16">
        <f t="shared" si="42"/>
        <v>5781</v>
      </c>
      <c r="E303" s="15">
        <f t="shared" si="43"/>
        <v>266489</v>
      </c>
      <c r="F303" s="15">
        <f t="shared" si="44"/>
        <v>1347009</v>
      </c>
      <c r="H303">
        <f t="shared" si="45"/>
        <v>295</v>
      </c>
      <c r="I303" s="15">
        <f t="shared" si="46"/>
        <v>216829</v>
      </c>
      <c r="J303" s="16">
        <f t="shared" si="49"/>
        <v>2369</v>
      </c>
      <c r="K303" s="15">
        <f t="shared" si="47"/>
        <v>214460</v>
      </c>
      <c r="L303" s="15">
        <f t="shared" si="48"/>
        <v>1078133</v>
      </c>
      <c r="O303" s="15"/>
      <c r="P303" s="16"/>
      <c r="Q303" s="15"/>
      <c r="R303" s="15"/>
    </row>
    <row r="304" spans="2:18" x14ac:dyDescent="0.55000000000000004">
      <c r="B304">
        <f t="shared" si="40"/>
        <v>296</v>
      </c>
      <c r="C304" s="15">
        <f t="shared" si="41"/>
        <v>272270</v>
      </c>
      <c r="D304" s="16">
        <f t="shared" si="42"/>
        <v>4826</v>
      </c>
      <c r="E304" s="15">
        <f t="shared" si="43"/>
        <v>267444</v>
      </c>
      <c r="F304" s="15">
        <f t="shared" si="44"/>
        <v>1079565</v>
      </c>
      <c r="H304">
        <f t="shared" si="45"/>
        <v>296</v>
      </c>
      <c r="I304" s="15">
        <f t="shared" si="46"/>
        <v>216829</v>
      </c>
      <c r="J304" s="16">
        <f t="shared" si="49"/>
        <v>1976</v>
      </c>
      <c r="K304" s="15">
        <f t="shared" si="47"/>
        <v>214853</v>
      </c>
      <c r="L304" s="15">
        <f t="shared" si="48"/>
        <v>863280</v>
      </c>
      <c r="O304" s="15"/>
      <c r="P304" s="16"/>
      <c r="Q304" s="15"/>
      <c r="R304" s="15"/>
    </row>
    <row r="305" spans="2:18" x14ac:dyDescent="0.55000000000000004">
      <c r="B305">
        <f t="shared" si="40"/>
        <v>297</v>
      </c>
      <c r="C305" s="15">
        <f t="shared" si="41"/>
        <v>272270</v>
      </c>
      <c r="D305" s="16">
        <f t="shared" si="42"/>
        <v>3868</v>
      </c>
      <c r="E305" s="15">
        <f t="shared" si="43"/>
        <v>268402</v>
      </c>
      <c r="F305" s="15">
        <f t="shared" si="44"/>
        <v>811163</v>
      </c>
      <c r="H305">
        <f t="shared" si="45"/>
        <v>297</v>
      </c>
      <c r="I305" s="15">
        <f t="shared" si="46"/>
        <v>216829</v>
      </c>
      <c r="J305" s="16">
        <f t="shared" si="49"/>
        <v>1582</v>
      </c>
      <c r="K305" s="15">
        <f t="shared" si="47"/>
        <v>215247</v>
      </c>
      <c r="L305" s="15">
        <f t="shared" si="48"/>
        <v>648033</v>
      </c>
      <c r="O305" s="15"/>
      <c r="P305" s="16"/>
      <c r="Q305" s="15"/>
      <c r="R305" s="15"/>
    </row>
    <row r="306" spans="2:18" x14ac:dyDescent="0.55000000000000004">
      <c r="B306">
        <f t="shared" si="40"/>
        <v>298</v>
      </c>
      <c r="C306" s="15">
        <f t="shared" si="41"/>
        <v>272270</v>
      </c>
      <c r="D306" s="16">
        <f t="shared" si="42"/>
        <v>2906</v>
      </c>
      <c r="E306" s="15">
        <f t="shared" si="43"/>
        <v>269364</v>
      </c>
      <c r="F306" s="15">
        <f t="shared" si="44"/>
        <v>541799</v>
      </c>
      <c r="H306">
        <f t="shared" si="45"/>
        <v>298</v>
      </c>
      <c r="I306" s="15">
        <f t="shared" si="46"/>
        <v>216829</v>
      </c>
      <c r="J306" s="16">
        <f t="shared" si="49"/>
        <v>1188</v>
      </c>
      <c r="K306" s="15">
        <f t="shared" si="47"/>
        <v>215641</v>
      </c>
      <c r="L306" s="15">
        <f t="shared" si="48"/>
        <v>432392</v>
      </c>
      <c r="O306" s="15"/>
      <c r="P306" s="16"/>
      <c r="Q306" s="15"/>
      <c r="R306" s="15"/>
    </row>
    <row r="307" spans="2:18" x14ac:dyDescent="0.55000000000000004">
      <c r="B307">
        <f t="shared" si="40"/>
        <v>299</v>
      </c>
      <c r="C307" s="15">
        <f t="shared" si="41"/>
        <v>272270</v>
      </c>
      <c r="D307" s="16">
        <f t="shared" si="42"/>
        <v>1941</v>
      </c>
      <c r="E307" s="15">
        <f t="shared" si="43"/>
        <v>270329</v>
      </c>
      <c r="F307" s="15">
        <f t="shared" si="44"/>
        <v>271470</v>
      </c>
      <c r="H307">
        <f t="shared" si="45"/>
        <v>299</v>
      </c>
      <c r="I307" s="15">
        <f t="shared" si="46"/>
        <v>216829</v>
      </c>
      <c r="J307" s="16">
        <f t="shared" si="49"/>
        <v>792</v>
      </c>
      <c r="K307" s="15">
        <f t="shared" si="47"/>
        <v>216037</v>
      </c>
      <c r="L307" s="15">
        <f t="shared" si="48"/>
        <v>216355</v>
      </c>
      <c r="O307" s="15"/>
      <c r="P307" s="16"/>
      <c r="Q307" s="15"/>
      <c r="R307" s="15"/>
    </row>
    <row r="308" spans="2:18" x14ac:dyDescent="0.55000000000000004">
      <c r="B308">
        <f t="shared" si="40"/>
        <v>300</v>
      </c>
      <c r="C308" s="15">
        <f t="shared" si="41"/>
        <v>272270</v>
      </c>
      <c r="D308" s="16">
        <f t="shared" si="42"/>
        <v>972</v>
      </c>
      <c r="E308" s="15">
        <f t="shared" si="43"/>
        <v>271298</v>
      </c>
      <c r="F308" s="15">
        <f t="shared" si="44"/>
        <v>172</v>
      </c>
      <c r="H308">
        <f t="shared" si="45"/>
        <v>300</v>
      </c>
      <c r="I308" s="15">
        <f t="shared" si="46"/>
        <v>216829</v>
      </c>
      <c r="J308" s="16">
        <f t="shared" si="49"/>
        <v>396</v>
      </c>
      <c r="K308" s="15">
        <f t="shared" si="47"/>
        <v>216433</v>
      </c>
      <c r="L308" s="15">
        <f t="shared" si="48"/>
        <v>-78</v>
      </c>
      <c r="O308" s="15"/>
      <c r="P308" s="16"/>
      <c r="Q308" s="15"/>
      <c r="R308" s="15"/>
    </row>
    <row r="309" spans="2:18" x14ac:dyDescent="0.55000000000000004">
      <c r="B309">
        <f t="shared" si="40"/>
        <v>301</v>
      </c>
      <c r="C309" s="15">
        <f t="shared" si="41"/>
        <v>272270</v>
      </c>
      <c r="D309" s="16">
        <f t="shared" si="42"/>
        <v>0</v>
      </c>
      <c r="E309" s="15">
        <f t="shared" si="43"/>
        <v>272270</v>
      </c>
      <c r="F309" s="15">
        <f t="shared" si="44"/>
        <v>-272098</v>
      </c>
      <c r="H309">
        <f t="shared" si="45"/>
        <v>301</v>
      </c>
      <c r="I309" s="15">
        <f t="shared" si="46"/>
        <v>216829</v>
      </c>
      <c r="J309" s="16">
        <f t="shared" si="49"/>
        <v>-1</v>
      </c>
      <c r="K309" s="15">
        <f t="shared" si="47"/>
        <v>216830</v>
      </c>
      <c r="L309" s="15">
        <f t="shared" si="48"/>
        <v>-216908</v>
      </c>
      <c r="O309" s="15"/>
      <c r="P309" s="16"/>
      <c r="Q309" s="15"/>
      <c r="R309" s="15"/>
    </row>
    <row r="310" spans="2:18" x14ac:dyDescent="0.55000000000000004">
      <c r="B310">
        <f t="shared" si="40"/>
        <v>302</v>
      </c>
      <c r="C310" s="15">
        <f t="shared" si="41"/>
        <v>272270</v>
      </c>
      <c r="D310" s="16">
        <f t="shared" si="42"/>
        <v>-976</v>
      </c>
      <c r="E310" s="15">
        <f t="shared" si="43"/>
        <v>273246</v>
      </c>
      <c r="F310" s="15">
        <f t="shared" si="44"/>
        <v>-545344</v>
      </c>
      <c r="H310">
        <f t="shared" si="45"/>
        <v>302</v>
      </c>
      <c r="I310" s="15">
        <f t="shared" si="46"/>
        <v>216829</v>
      </c>
      <c r="J310" s="16">
        <f t="shared" si="49"/>
        <v>-398</v>
      </c>
      <c r="K310" s="15">
        <f t="shared" si="47"/>
        <v>217227</v>
      </c>
      <c r="L310" s="15">
        <f t="shared" si="48"/>
        <v>-434135</v>
      </c>
      <c r="O310" s="15"/>
      <c r="P310" s="16"/>
      <c r="Q310" s="15"/>
      <c r="R310" s="15"/>
    </row>
    <row r="311" spans="2:18" x14ac:dyDescent="0.55000000000000004">
      <c r="B311">
        <f t="shared" si="40"/>
        <v>303</v>
      </c>
      <c r="C311" s="15">
        <f t="shared" si="41"/>
        <v>272270</v>
      </c>
      <c r="D311" s="16">
        <f t="shared" si="42"/>
        <v>-1955</v>
      </c>
      <c r="E311" s="15">
        <f t="shared" si="43"/>
        <v>274225</v>
      </c>
      <c r="F311" s="15">
        <f t="shared" si="44"/>
        <v>-819569</v>
      </c>
      <c r="H311">
        <f t="shared" si="45"/>
        <v>303</v>
      </c>
      <c r="I311" s="15">
        <f t="shared" si="46"/>
        <v>216829</v>
      </c>
      <c r="J311" s="16">
        <f t="shared" si="49"/>
        <v>-796</v>
      </c>
      <c r="K311" s="15">
        <f t="shared" si="47"/>
        <v>217625</v>
      </c>
      <c r="L311" s="15">
        <f t="shared" si="48"/>
        <v>-651760</v>
      </c>
      <c r="O311" s="15"/>
      <c r="P311" s="16"/>
      <c r="Q311" s="15"/>
      <c r="R311" s="15"/>
    </row>
    <row r="312" spans="2:18" x14ac:dyDescent="0.55000000000000004">
      <c r="B312">
        <f t="shared" si="40"/>
        <v>304</v>
      </c>
      <c r="C312" s="15">
        <f t="shared" si="41"/>
        <v>272270</v>
      </c>
      <c r="D312" s="16">
        <f t="shared" si="42"/>
        <v>-2937</v>
      </c>
      <c r="E312" s="15">
        <f t="shared" si="43"/>
        <v>275207</v>
      </c>
      <c r="F312" s="15">
        <f t="shared" si="44"/>
        <v>-1094776</v>
      </c>
      <c r="H312">
        <f t="shared" si="45"/>
        <v>304</v>
      </c>
      <c r="I312" s="15">
        <f t="shared" si="46"/>
        <v>216829</v>
      </c>
      <c r="J312" s="16">
        <f t="shared" si="49"/>
        <v>-1195</v>
      </c>
      <c r="K312" s="15">
        <f t="shared" si="47"/>
        <v>218024</v>
      </c>
      <c r="L312" s="15">
        <f t="shared" si="48"/>
        <v>-869784</v>
      </c>
      <c r="O312" s="15"/>
      <c r="P312" s="16"/>
      <c r="Q312" s="15"/>
      <c r="R312" s="15"/>
    </row>
    <row r="313" spans="2:18" x14ac:dyDescent="0.55000000000000004">
      <c r="B313">
        <f t="shared" si="40"/>
        <v>305</v>
      </c>
      <c r="C313" s="15">
        <f t="shared" si="41"/>
        <v>272270</v>
      </c>
      <c r="D313" s="16">
        <f t="shared" si="42"/>
        <v>-3923</v>
      </c>
      <c r="E313" s="15">
        <f t="shared" si="43"/>
        <v>276193</v>
      </c>
      <c r="F313" s="15">
        <f t="shared" si="44"/>
        <v>-1370969</v>
      </c>
      <c r="H313">
        <f t="shared" si="45"/>
        <v>305</v>
      </c>
      <c r="I313" s="15">
        <f t="shared" si="46"/>
        <v>216829</v>
      </c>
      <c r="J313" s="16">
        <f t="shared" si="49"/>
        <v>-1595</v>
      </c>
      <c r="K313" s="15">
        <f t="shared" si="47"/>
        <v>218424</v>
      </c>
      <c r="L313" s="15">
        <f t="shared" si="48"/>
        <v>-1088208</v>
      </c>
      <c r="O313" s="15"/>
      <c r="P313" s="16"/>
      <c r="Q313" s="15"/>
      <c r="R313" s="15"/>
    </row>
    <row r="314" spans="2:18" x14ac:dyDescent="0.55000000000000004">
      <c r="B314">
        <f t="shared" si="40"/>
        <v>306</v>
      </c>
      <c r="C314" s="15">
        <f t="shared" si="41"/>
        <v>272270</v>
      </c>
      <c r="D314" s="16">
        <f t="shared" si="42"/>
        <v>-4913</v>
      </c>
      <c r="E314" s="15">
        <f t="shared" si="43"/>
        <v>277183</v>
      </c>
      <c r="F314" s="15">
        <f t="shared" si="44"/>
        <v>-1648152</v>
      </c>
      <c r="H314">
        <f t="shared" si="45"/>
        <v>306</v>
      </c>
      <c r="I314" s="15">
        <f t="shared" si="46"/>
        <v>216829</v>
      </c>
      <c r="J314" s="16">
        <f t="shared" si="49"/>
        <v>-1996</v>
      </c>
      <c r="K314" s="15">
        <f t="shared" si="47"/>
        <v>218825</v>
      </c>
      <c r="L314" s="15">
        <f t="shared" si="48"/>
        <v>-1307033</v>
      </c>
      <c r="O314" s="15"/>
      <c r="P314" s="16"/>
      <c r="Q314" s="15"/>
      <c r="R314" s="15"/>
    </row>
    <row r="315" spans="2:18" x14ac:dyDescent="0.55000000000000004">
      <c r="B315">
        <f t="shared" si="40"/>
        <v>307</v>
      </c>
      <c r="C315" s="15">
        <f t="shared" si="41"/>
        <v>272270</v>
      </c>
      <c r="D315" s="16">
        <f t="shared" si="42"/>
        <v>-5906</v>
      </c>
      <c r="E315" s="15">
        <f t="shared" si="43"/>
        <v>278176</v>
      </c>
      <c r="F315" s="15">
        <f t="shared" si="44"/>
        <v>-1926328</v>
      </c>
      <c r="H315">
        <f t="shared" si="45"/>
        <v>307</v>
      </c>
      <c r="I315" s="15">
        <f t="shared" si="46"/>
        <v>216829</v>
      </c>
      <c r="J315" s="16">
        <f t="shared" si="49"/>
        <v>-2397</v>
      </c>
      <c r="K315" s="15">
        <f t="shared" si="47"/>
        <v>219226</v>
      </c>
      <c r="L315" s="15">
        <f t="shared" si="48"/>
        <v>-1526259</v>
      </c>
      <c r="O315" s="15"/>
      <c r="P315" s="16"/>
      <c r="Q315" s="15"/>
      <c r="R315" s="15"/>
    </row>
    <row r="316" spans="2:18" x14ac:dyDescent="0.55000000000000004">
      <c r="B316">
        <f t="shared" si="40"/>
        <v>308</v>
      </c>
      <c r="C316" s="15">
        <f t="shared" si="41"/>
        <v>272270</v>
      </c>
      <c r="D316" s="16">
        <f t="shared" si="42"/>
        <v>-6903</v>
      </c>
      <c r="E316" s="15">
        <f t="shared" si="43"/>
        <v>279173</v>
      </c>
      <c r="F316" s="15">
        <f t="shared" si="44"/>
        <v>-2205501</v>
      </c>
      <c r="H316">
        <f t="shared" si="45"/>
        <v>308</v>
      </c>
      <c r="I316" s="15">
        <f t="shared" si="46"/>
        <v>216829</v>
      </c>
      <c r="J316" s="16">
        <f t="shared" si="49"/>
        <v>-2799</v>
      </c>
      <c r="K316" s="15">
        <f t="shared" si="47"/>
        <v>219628</v>
      </c>
      <c r="L316" s="15">
        <f t="shared" si="48"/>
        <v>-1745887</v>
      </c>
      <c r="O316" s="15"/>
      <c r="P316" s="16"/>
      <c r="Q316" s="15"/>
      <c r="R316" s="15"/>
    </row>
    <row r="317" spans="2:18" x14ac:dyDescent="0.55000000000000004">
      <c r="B317">
        <f t="shared" si="40"/>
        <v>309</v>
      </c>
      <c r="C317" s="15">
        <f t="shared" si="41"/>
        <v>272270</v>
      </c>
      <c r="D317" s="16">
        <f t="shared" si="42"/>
        <v>-7904</v>
      </c>
      <c r="E317" s="15">
        <f t="shared" si="43"/>
        <v>280174</v>
      </c>
      <c r="F317" s="15">
        <f t="shared" si="44"/>
        <v>-2485675</v>
      </c>
      <c r="H317">
        <f t="shared" si="45"/>
        <v>309</v>
      </c>
      <c r="I317" s="15">
        <f t="shared" si="46"/>
        <v>216829</v>
      </c>
      <c r="J317" s="16">
        <f t="shared" si="49"/>
        <v>-3201</v>
      </c>
      <c r="K317" s="15">
        <f t="shared" si="47"/>
        <v>220030</v>
      </c>
      <c r="L317" s="15">
        <f t="shared" si="48"/>
        <v>-1965917</v>
      </c>
      <c r="O317" s="15"/>
      <c r="P317" s="16"/>
      <c r="Q317" s="15"/>
      <c r="R317" s="15"/>
    </row>
    <row r="318" spans="2:18" x14ac:dyDescent="0.55000000000000004">
      <c r="B318">
        <f t="shared" si="40"/>
        <v>310</v>
      </c>
      <c r="C318" s="15">
        <f t="shared" si="41"/>
        <v>272270</v>
      </c>
      <c r="D318" s="16">
        <f t="shared" si="42"/>
        <v>-8908</v>
      </c>
      <c r="E318" s="15">
        <f t="shared" si="43"/>
        <v>281178</v>
      </c>
      <c r="F318" s="15">
        <f t="shared" si="44"/>
        <v>-2766853</v>
      </c>
      <c r="H318">
        <f t="shared" si="45"/>
        <v>310</v>
      </c>
      <c r="I318" s="15">
        <f t="shared" si="46"/>
        <v>216829</v>
      </c>
      <c r="J318" s="16">
        <f t="shared" si="49"/>
        <v>-3605</v>
      </c>
      <c r="K318" s="15">
        <f t="shared" si="47"/>
        <v>220434</v>
      </c>
      <c r="L318" s="15">
        <f t="shared" si="48"/>
        <v>-2186351</v>
      </c>
      <c r="O318" s="15"/>
      <c r="P318" s="16"/>
      <c r="Q318" s="15"/>
      <c r="R318" s="15"/>
    </row>
    <row r="319" spans="2:18" x14ac:dyDescent="0.55000000000000004">
      <c r="B319">
        <f t="shared" si="40"/>
        <v>311</v>
      </c>
      <c r="C319" s="15">
        <f t="shared" si="41"/>
        <v>272270</v>
      </c>
      <c r="D319" s="16">
        <f t="shared" si="42"/>
        <v>-9915</v>
      </c>
      <c r="E319" s="15">
        <f t="shared" si="43"/>
        <v>282185</v>
      </c>
      <c r="F319" s="15">
        <f t="shared" si="44"/>
        <v>-3049038</v>
      </c>
      <c r="H319">
        <f t="shared" si="45"/>
        <v>311</v>
      </c>
      <c r="I319" s="15">
        <f t="shared" si="46"/>
        <v>216829</v>
      </c>
      <c r="J319" s="16">
        <f t="shared" si="49"/>
        <v>-4009</v>
      </c>
      <c r="K319" s="15">
        <f t="shared" si="47"/>
        <v>220838</v>
      </c>
      <c r="L319" s="15">
        <f t="shared" si="48"/>
        <v>-2407189</v>
      </c>
      <c r="O319" s="15"/>
      <c r="P319" s="16"/>
      <c r="Q319" s="15"/>
      <c r="R319" s="15"/>
    </row>
    <row r="320" spans="2:18" x14ac:dyDescent="0.55000000000000004">
      <c r="B320">
        <f t="shared" si="40"/>
        <v>312</v>
      </c>
      <c r="C320" s="15">
        <f t="shared" si="41"/>
        <v>272270</v>
      </c>
      <c r="D320" s="16">
        <f t="shared" si="42"/>
        <v>-10926</v>
      </c>
      <c r="E320" s="15">
        <f t="shared" si="43"/>
        <v>283196</v>
      </c>
      <c r="F320" s="15">
        <f t="shared" si="44"/>
        <v>-3332234</v>
      </c>
      <c r="H320">
        <f t="shared" si="45"/>
        <v>312</v>
      </c>
      <c r="I320" s="15">
        <f t="shared" si="46"/>
        <v>216829</v>
      </c>
      <c r="J320" s="16">
        <f t="shared" si="49"/>
        <v>-4414</v>
      </c>
      <c r="K320" s="15">
        <f t="shared" si="47"/>
        <v>221243</v>
      </c>
      <c r="L320" s="15">
        <f t="shared" si="48"/>
        <v>-2628432</v>
      </c>
      <c r="O320" s="15"/>
      <c r="P320" s="16"/>
      <c r="Q320" s="15"/>
      <c r="R320" s="15"/>
    </row>
    <row r="321" spans="2:18" x14ac:dyDescent="0.55000000000000004">
      <c r="B321">
        <f t="shared" si="40"/>
        <v>313</v>
      </c>
      <c r="C321" s="15">
        <f t="shared" si="41"/>
        <v>272270</v>
      </c>
      <c r="D321" s="16">
        <f t="shared" si="42"/>
        <v>-11941</v>
      </c>
      <c r="E321" s="15">
        <f t="shared" si="43"/>
        <v>284211</v>
      </c>
      <c r="F321" s="15">
        <f t="shared" si="44"/>
        <v>-3616445</v>
      </c>
      <c r="H321">
        <f t="shared" si="45"/>
        <v>313</v>
      </c>
      <c r="I321" s="15">
        <f t="shared" si="46"/>
        <v>216829</v>
      </c>
      <c r="J321" s="16">
        <f t="shared" si="49"/>
        <v>-4819</v>
      </c>
      <c r="K321" s="15">
        <f t="shared" si="47"/>
        <v>221648</v>
      </c>
      <c r="L321" s="15">
        <f t="shared" si="48"/>
        <v>-2850080</v>
      </c>
      <c r="O321" s="15"/>
      <c r="P321" s="16"/>
      <c r="Q321" s="15"/>
      <c r="R321" s="15"/>
    </row>
    <row r="322" spans="2:18" x14ac:dyDescent="0.55000000000000004">
      <c r="B322">
        <f t="shared" si="40"/>
        <v>314</v>
      </c>
      <c r="C322" s="15">
        <f t="shared" si="41"/>
        <v>272270</v>
      </c>
      <c r="D322" s="16">
        <f t="shared" si="42"/>
        <v>-12959</v>
      </c>
      <c r="E322" s="15">
        <f t="shared" si="43"/>
        <v>285229</v>
      </c>
      <c r="F322" s="15">
        <f t="shared" si="44"/>
        <v>-3901674</v>
      </c>
      <c r="H322">
        <f t="shared" si="45"/>
        <v>314</v>
      </c>
      <c r="I322" s="15">
        <f t="shared" si="46"/>
        <v>216829</v>
      </c>
      <c r="J322" s="16">
        <f t="shared" si="49"/>
        <v>-5226</v>
      </c>
      <c r="K322" s="15">
        <f t="shared" si="47"/>
        <v>222055</v>
      </c>
      <c r="L322" s="15">
        <f t="shared" si="48"/>
        <v>-3072135</v>
      </c>
      <c r="O322" s="15"/>
      <c r="P322" s="16"/>
      <c r="Q322" s="15"/>
      <c r="R322" s="15"/>
    </row>
    <row r="323" spans="2:18" x14ac:dyDescent="0.55000000000000004">
      <c r="B323">
        <f t="shared" si="40"/>
        <v>315</v>
      </c>
      <c r="C323" s="15">
        <f t="shared" si="41"/>
        <v>272270</v>
      </c>
      <c r="D323" s="16">
        <f t="shared" si="42"/>
        <v>-13981</v>
      </c>
      <c r="E323" s="15">
        <f t="shared" si="43"/>
        <v>286251</v>
      </c>
      <c r="F323" s="15">
        <f t="shared" si="44"/>
        <v>-4187925</v>
      </c>
      <c r="H323">
        <f t="shared" si="45"/>
        <v>315</v>
      </c>
      <c r="I323" s="15">
        <f t="shared" si="46"/>
        <v>216829</v>
      </c>
      <c r="J323" s="16">
        <f t="shared" si="49"/>
        <v>-5633</v>
      </c>
      <c r="K323" s="15">
        <f t="shared" si="47"/>
        <v>222462</v>
      </c>
      <c r="L323" s="15">
        <f t="shared" si="48"/>
        <v>-3294597</v>
      </c>
      <c r="O323" s="15"/>
      <c r="P323" s="16"/>
      <c r="Q323" s="15"/>
      <c r="R323" s="15"/>
    </row>
    <row r="324" spans="2:18" x14ac:dyDescent="0.55000000000000004">
      <c r="B324">
        <f t="shared" si="40"/>
        <v>316</v>
      </c>
      <c r="C324" s="15">
        <f t="shared" si="41"/>
        <v>272270</v>
      </c>
      <c r="D324" s="16">
        <f t="shared" si="42"/>
        <v>-15007</v>
      </c>
      <c r="E324" s="15">
        <f t="shared" si="43"/>
        <v>287277</v>
      </c>
      <c r="F324" s="15">
        <f t="shared" si="44"/>
        <v>-4475202</v>
      </c>
      <c r="H324">
        <f t="shared" si="45"/>
        <v>316</v>
      </c>
      <c r="I324" s="15">
        <f t="shared" si="46"/>
        <v>216829</v>
      </c>
      <c r="J324" s="16">
        <f t="shared" si="49"/>
        <v>-6041</v>
      </c>
      <c r="K324" s="15">
        <f t="shared" si="47"/>
        <v>222870</v>
      </c>
      <c r="L324" s="15">
        <f t="shared" si="48"/>
        <v>-3517467</v>
      </c>
      <c r="O324" s="15"/>
      <c r="P324" s="16"/>
      <c r="Q324" s="15"/>
      <c r="R324" s="15"/>
    </row>
    <row r="325" spans="2:18" x14ac:dyDescent="0.55000000000000004">
      <c r="B325">
        <f t="shared" si="40"/>
        <v>317</v>
      </c>
      <c r="C325" s="15">
        <f t="shared" si="41"/>
        <v>272270</v>
      </c>
      <c r="D325" s="16">
        <f t="shared" si="42"/>
        <v>-16037</v>
      </c>
      <c r="E325" s="15">
        <f t="shared" si="43"/>
        <v>288307</v>
      </c>
      <c r="F325" s="15">
        <f t="shared" si="44"/>
        <v>-4763509</v>
      </c>
      <c r="H325">
        <f t="shared" si="45"/>
        <v>317</v>
      </c>
      <c r="I325" s="15">
        <f t="shared" si="46"/>
        <v>216829</v>
      </c>
      <c r="J325" s="16">
        <f t="shared" si="49"/>
        <v>-6449</v>
      </c>
      <c r="K325" s="15">
        <f t="shared" si="47"/>
        <v>223278</v>
      </c>
      <c r="L325" s="15">
        <f t="shared" si="48"/>
        <v>-3740745</v>
      </c>
      <c r="O325" s="15"/>
      <c r="P325" s="16"/>
      <c r="Q325" s="15"/>
      <c r="R325" s="15"/>
    </row>
    <row r="326" spans="2:18" x14ac:dyDescent="0.55000000000000004">
      <c r="B326">
        <f t="shared" si="40"/>
        <v>318</v>
      </c>
      <c r="C326" s="15">
        <f t="shared" si="41"/>
        <v>272270</v>
      </c>
      <c r="D326" s="16">
        <f t="shared" si="42"/>
        <v>-17070</v>
      </c>
      <c r="E326" s="15">
        <f t="shared" si="43"/>
        <v>289340</v>
      </c>
      <c r="F326" s="15">
        <f t="shared" si="44"/>
        <v>-5052849</v>
      </c>
      <c r="H326">
        <f t="shared" si="45"/>
        <v>318</v>
      </c>
      <c r="I326" s="15">
        <f t="shared" si="46"/>
        <v>216829</v>
      </c>
      <c r="J326" s="16">
        <f t="shared" si="49"/>
        <v>-6859</v>
      </c>
      <c r="K326" s="15">
        <f t="shared" si="47"/>
        <v>223688</v>
      </c>
      <c r="L326" s="15">
        <f t="shared" si="48"/>
        <v>-3964433</v>
      </c>
      <c r="O326" s="15"/>
      <c r="P326" s="16"/>
      <c r="Q326" s="15"/>
      <c r="R326" s="15"/>
    </row>
    <row r="327" spans="2:18" x14ac:dyDescent="0.55000000000000004">
      <c r="B327">
        <f t="shared" si="40"/>
        <v>319</v>
      </c>
      <c r="C327" s="15">
        <f t="shared" si="41"/>
        <v>272270</v>
      </c>
      <c r="D327" s="16">
        <f t="shared" si="42"/>
        <v>-18107</v>
      </c>
      <c r="E327" s="15">
        <f t="shared" si="43"/>
        <v>290377</v>
      </c>
      <c r="F327" s="15">
        <f t="shared" si="44"/>
        <v>-5343226</v>
      </c>
      <c r="H327">
        <f t="shared" si="45"/>
        <v>319</v>
      </c>
      <c r="I327" s="15">
        <f t="shared" si="46"/>
        <v>216829</v>
      </c>
      <c r="J327" s="16">
        <f t="shared" si="49"/>
        <v>-7269</v>
      </c>
      <c r="K327" s="15">
        <f t="shared" si="47"/>
        <v>224098</v>
      </c>
      <c r="L327" s="15">
        <f t="shared" si="48"/>
        <v>-4188531</v>
      </c>
      <c r="O327" s="15"/>
      <c r="P327" s="16"/>
      <c r="Q327" s="15"/>
      <c r="R327" s="15"/>
    </row>
    <row r="328" spans="2:18" x14ac:dyDescent="0.55000000000000004">
      <c r="B328">
        <f t="shared" si="40"/>
        <v>320</v>
      </c>
      <c r="C328" s="15">
        <f t="shared" si="41"/>
        <v>272270</v>
      </c>
      <c r="D328" s="16">
        <f t="shared" si="42"/>
        <v>-19147</v>
      </c>
      <c r="E328" s="15">
        <f t="shared" si="43"/>
        <v>291417</v>
      </c>
      <c r="F328" s="15">
        <f t="shared" si="44"/>
        <v>-5634643</v>
      </c>
      <c r="H328">
        <f t="shared" si="45"/>
        <v>320</v>
      </c>
      <c r="I328" s="15">
        <f t="shared" si="46"/>
        <v>216829</v>
      </c>
      <c r="J328" s="16">
        <f t="shared" si="49"/>
        <v>-7679</v>
      </c>
      <c r="K328" s="15">
        <f t="shared" si="47"/>
        <v>224508</v>
      </c>
      <c r="L328" s="15">
        <f t="shared" si="48"/>
        <v>-4413039</v>
      </c>
      <c r="O328" s="15"/>
      <c r="P328" s="16"/>
      <c r="Q328" s="15"/>
      <c r="R328" s="15"/>
    </row>
    <row r="329" spans="2:18" x14ac:dyDescent="0.55000000000000004">
      <c r="B329">
        <f t="shared" si="40"/>
        <v>321</v>
      </c>
      <c r="C329" s="15">
        <f t="shared" si="41"/>
        <v>272270</v>
      </c>
      <c r="D329" s="16">
        <f t="shared" si="42"/>
        <v>-20191</v>
      </c>
      <c r="E329" s="15">
        <f t="shared" si="43"/>
        <v>292461</v>
      </c>
      <c r="F329" s="15">
        <f t="shared" si="44"/>
        <v>-5927104</v>
      </c>
      <c r="H329">
        <f t="shared" si="45"/>
        <v>321</v>
      </c>
      <c r="I329" s="15">
        <f t="shared" si="46"/>
        <v>216829</v>
      </c>
      <c r="J329" s="16">
        <f t="shared" si="49"/>
        <v>-8091</v>
      </c>
      <c r="K329" s="15">
        <f t="shared" si="47"/>
        <v>224920</v>
      </c>
      <c r="L329" s="15">
        <f t="shared" si="48"/>
        <v>-4637959</v>
      </c>
      <c r="O329" s="15"/>
      <c r="P329" s="16"/>
      <c r="Q329" s="15"/>
      <c r="R329" s="15"/>
    </row>
    <row r="330" spans="2:18" x14ac:dyDescent="0.55000000000000004">
      <c r="B330">
        <f t="shared" si="40"/>
        <v>322</v>
      </c>
      <c r="C330" s="15">
        <f t="shared" si="41"/>
        <v>272270</v>
      </c>
      <c r="D330" s="16">
        <f t="shared" si="42"/>
        <v>-21239</v>
      </c>
      <c r="E330" s="15">
        <f t="shared" si="43"/>
        <v>293509</v>
      </c>
      <c r="F330" s="15">
        <f t="shared" si="44"/>
        <v>-6220613</v>
      </c>
      <c r="H330">
        <f t="shared" si="45"/>
        <v>322</v>
      </c>
      <c r="I330" s="15">
        <f t="shared" si="46"/>
        <v>216829</v>
      </c>
      <c r="J330" s="16">
        <f t="shared" si="49"/>
        <v>-8503</v>
      </c>
      <c r="K330" s="15">
        <f t="shared" si="47"/>
        <v>225332</v>
      </c>
      <c r="L330" s="15">
        <f t="shared" si="48"/>
        <v>-4863291</v>
      </c>
      <c r="O330" s="15"/>
      <c r="P330" s="16"/>
      <c r="Q330" s="15"/>
      <c r="R330" s="15"/>
    </row>
    <row r="331" spans="2:18" x14ac:dyDescent="0.55000000000000004">
      <c r="B331">
        <f t="shared" ref="B331:B368" si="50">B330+1</f>
        <v>323</v>
      </c>
      <c r="C331" s="15">
        <f t="shared" ref="C331:C368" si="51">C330</f>
        <v>272270</v>
      </c>
      <c r="D331" s="16">
        <f t="shared" ref="D331:D368" si="52">INT(F330*$D$3/12)</f>
        <v>-22291</v>
      </c>
      <c r="E331" s="15">
        <f t="shared" ref="E331:E368" si="53">C331-D331</f>
        <v>294561</v>
      </c>
      <c r="F331" s="15">
        <f t="shared" ref="F331:F368" si="54">F330-E331</f>
        <v>-6515174</v>
      </c>
      <c r="H331">
        <f t="shared" ref="H331:H368" si="55">H330+1</f>
        <v>323</v>
      </c>
      <c r="I331" s="15">
        <f t="shared" ref="I331:I368" si="56">I330</f>
        <v>216829</v>
      </c>
      <c r="J331" s="16">
        <f t="shared" si="49"/>
        <v>-8917</v>
      </c>
      <c r="K331" s="15">
        <f t="shared" ref="K331:K368" si="57">I331-J331</f>
        <v>225746</v>
      </c>
      <c r="L331" s="15">
        <f t="shared" ref="L331:L368" si="58">L330-K331</f>
        <v>-5089037</v>
      </c>
      <c r="O331" s="15"/>
      <c r="P331" s="16"/>
      <c r="Q331" s="15"/>
      <c r="R331" s="15"/>
    </row>
    <row r="332" spans="2:18" x14ac:dyDescent="0.55000000000000004">
      <c r="B332">
        <f t="shared" si="50"/>
        <v>324</v>
      </c>
      <c r="C332" s="15">
        <f t="shared" si="51"/>
        <v>272270</v>
      </c>
      <c r="D332" s="16">
        <f t="shared" si="52"/>
        <v>-23347</v>
      </c>
      <c r="E332" s="15">
        <f t="shared" si="53"/>
        <v>295617</v>
      </c>
      <c r="F332" s="15">
        <f t="shared" si="54"/>
        <v>-6810791</v>
      </c>
      <c r="H332">
        <f t="shared" si="55"/>
        <v>324</v>
      </c>
      <c r="I332" s="15">
        <f t="shared" si="56"/>
        <v>216829</v>
      </c>
      <c r="J332" s="16">
        <f t="shared" ref="J332:J368" si="59">INT(L331*$J$3/12)</f>
        <v>-9330</v>
      </c>
      <c r="K332" s="15">
        <f t="shared" si="57"/>
        <v>226159</v>
      </c>
      <c r="L332" s="15">
        <f t="shared" si="58"/>
        <v>-5315196</v>
      </c>
      <c r="O332" s="15"/>
      <c r="P332" s="16"/>
      <c r="Q332" s="15"/>
      <c r="R332" s="15"/>
    </row>
    <row r="333" spans="2:18" x14ac:dyDescent="0.55000000000000004">
      <c r="B333">
        <f t="shared" si="50"/>
        <v>325</v>
      </c>
      <c r="C333" s="15">
        <f t="shared" si="51"/>
        <v>272270</v>
      </c>
      <c r="D333" s="16">
        <f t="shared" si="52"/>
        <v>-24406</v>
      </c>
      <c r="E333" s="15">
        <f t="shared" si="53"/>
        <v>296676</v>
      </c>
      <c r="F333" s="15">
        <f t="shared" si="54"/>
        <v>-7107467</v>
      </c>
      <c r="H333">
        <f t="shared" si="55"/>
        <v>325</v>
      </c>
      <c r="I333" s="15">
        <f t="shared" si="56"/>
        <v>216829</v>
      </c>
      <c r="J333" s="16">
        <f t="shared" si="59"/>
        <v>-9745</v>
      </c>
      <c r="K333" s="15">
        <f t="shared" si="57"/>
        <v>226574</v>
      </c>
      <c r="L333" s="15">
        <f t="shared" si="58"/>
        <v>-5541770</v>
      </c>
      <c r="O333" s="15"/>
      <c r="P333" s="16"/>
      <c r="Q333" s="15"/>
      <c r="R333" s="15"/>
    </row>
    <row r="334" spans="2:18" x14ac:dyDescent="0.55000000000000004">
      <c r="B334">
        <f t="shared" si="50"/>
        <v>326</v>
      </c>
      <c r="C334" s="15">
        <f t="shared" si="51"/>
        <v>272270</v>
      </c>
      <c r="D334" s="16">
        <f t="shared" si="52"/>
        <v>-25469</v>
      </c>
      <c r="E334" s="15">
        <f t="shared" si="53"/>
        <v>297739</v>
      </c>
      <c r="F334" s="15">
        <f t="shared" si="54"/>
        <v>-7405206</v>
      </c>
      <c r="H334">
        <f t="shared" si="55"/>
        <v>326</v>
      </c>
      <c r="I334" s="15">
        <f t="shared" si="56"/>
        <v>216829</v>
      </c>
      <c r="J334" s="16">
        <f t="shared" si="59"/>
        <v>-10160</v>
      </c>
      <c r="K334" s="15">
        <f t="shared" si="57"/>
        <v>226989</v>
      </c>
      <c r="L334" s="15">
        <f t="shared" si="58"/>
        <v>-5768759</v>
      </c>
      <c r="O334" s="15"/>
      <c r="P334" s="16"/>
      <c r="Q334" s="15"/>
      <c r="R334" s="15"/>
    </row>
    <row r="335" spans="2:18" x14ac:dyDescent="0.55000000000000004">
      <c r="B335">
        <f t="shared" si="50"/>
        <v>327</v>
      </c>
      <c r="C335" s="15">
        <f t="shared" si="51"/>
        <v>272270</v>
      </c>
      <c r="D335" s="16">
        <f t="shared" si="52"/>
        <v>-26536</v>
      </c>
      <c r="E335" s="15">
        <f t="shared" si="53"/>
        <v>298806</v>
      </c>
      <c r="F335" s="15">
        <f t="shared" si="54"/>
        <v>-7704012</v>
      </c>
      <c r="H335">
        <f t="shared" si="55"/>
        <v>327</v>
      </c>
      <c r="I335" s="15">
        <f t="shared" si="56"/>
        <v>216829</v>
      </c>
      <c r="J335" s="16">
        <f t="shared" si="59"/>
        <v>-10577</v>
      </c>
      <c r="K335" s="15">
        <f t="shared" si="57"/>
        <v>227406</v>
      </c>
      <c r="L335" s="15">
        <f t="shared" si="58"/>
        <v>-5996165</v>
      </c>
      <c r="O335" s="15"/>
      <c r="P335" s="16"/>
      <c r="Q335" s="15"/>
      <c r="R335" s="15"/>
    </row>
    <row r="336" spans="2:18" x14ac:dyDescent="0.55000000000000004">
      <c r="B336">
        <f t="shared" si="50"/>
        <v>328</v>
      </c>
      <c r="C336" s="15">
        <f t="shared" si="51"/>
        <v>272270</v>
      </c>
      <c r="D336" s="16">
        <f t="shared" si="52"/>
        <v>-27607</v>
      </c>
      <c r="E336" s="15">
        <f t="shared" si="53"/>
        <v>299877</v>
      </c>
      <c r="F336" s="15">
        <f t="shared" si="54"/>
        <v>-8003889</v>
      </c>
      <c r="H336">
        <f t="shared" si="55"/>
        <v>328</v>
      </c>
      <c r="I336" s="15">
        <f t="shared" si="56"/>
        <v>216829</v>
      </c>
      <c r="J336" s="16">
        <f t="shared" si="59"/>
        <v>-10993</v>
      </c>
      <c r="K336" s="15">
        <f t="shared" si="57"/>
        <v>227822</v>
      </c>
      <c r="L336" s="15">
        <f t="shared" si="58"/>
        <v>-6223987</v>
      </c>
      <c r="O336" s="15"/>
      <c r="P336" s="16"/>
      <c r="Q336" s="15"/>
      <c r="R336" s="15"/>
    </row>
    <row r="337" spans="2:18" x14ac:dyDescent="0.55000000000000004">
      <c r="B337">
        <f t="shared" si="50"/>
        <v>329</v>
      </c>
      <c r="C337" s="15">
        <f t="shared" si="51"/>
        <v>272270</v>
      </c>
      <c r="D337" s="16">
        <f t="shared" si="52"/>
        <v>-28681</v>
      </c>
      <c r="E337" s="15">
        <f t="shared" si="53"/>
        <v>300951</v>
      </c>
      <c r="F337" s="15">
        <f t="shared" si="54"/>
        <v>-8304840</v>
      </c>
      <c r="H337">
        <f t="shared" si="55"/>
        <v>329</v>
      </c>
      <c r="I337" s="15">
        <f t="shared" si="56"/>
        <v>216829</v>
      </c>
      <c r="J337" s="16">
        <f t="shared" si="59"/>
        <v>-11411</v>
      </c>
      <c r="K337" s="15">
        <f t="shared" si="57"/>
        <v>228240</v>
      </c>
      <c r="L337" s="15">
        <f t="shared" si="58"/>
        <v>-6452227</v>
      </c>
      <c r="O337" s="15"/>
      <c r="P337" s="16"/>
      <c r="Q337" s="15"/>
      <c r="R337" s="15"/>
    </row>
    <row r="338" spans="2:18" x14ac:dyDescent="0.55000000000000004">
      <c r="B338">
        <f t="shared" si="50"/>
        <v>330</v>
      </c>
      <c r="C338" s="15">
        <f t="shared" si="51"/>
        <v>272270</v>
      </c>
      <c r="D338" s="16">
        <f t="shared" si="52"/>
        <v>-29760</v>
      </c>
      <c r="E338" s="15">
        <f t="shared" si="53"/>
        <v>302030</v>
      </c>
      <c r="F338" s="15">
        <f t="shared" si="54"/>
        <v>-8606870</v>
      </c>
      <c r="H338">
        <f t="shared" si="55"/>
        <v>330</v>
      </c>
      <c r="I338" s="15">
        <f t="shared" si="56"/>
        <v>216829</v>
      </c>
      <c r="J338" s="16">
        <f t="shared" si="59"/>
        <v>-11830</v>
      </c>
      <c r="K338" s="15">
        <f t="shared" si="57"/>
        <v>228659</v>
      </c>
      <c r="L338" s="15">
        <f t="shared" si="58"/>
        <v>-6680886</v>
      </c>
      <c r="O338" s="15"/>
      <c r="P338" s="16"/>
      <c r="Q338" s="15"/>
      <c r="R338" s="15"/>
    </row>
    <row r="339" spans="2:18" x14ac:dyDescent="0.55000000000000004">
      <c r="B339">
        <f t="shared" si="50"/>
        <v>331</v>
      </c>
      <c r="C339" s="15">
        <f t="shared" si="51"/>
        <v>272270</v>
      </c>
      <c r="D339" s="16">
        <f t="shared" si="52"/>
        <v>-30842</v>
      </c>
      <c r="E339" s="15">
        <f t="shared" si="53"/>
        <v>303112</v>
      </c>
      <c r="F339" s="15">
        <f t="shared" si="54"/>
        <v>-8909982</v>
      </c>
      <c r="H339">
        <f t="shared" si="55"/>
        <v>331</v>
      </c>
      <c r="I339" s="15">
        <f t="shared" si="56"/>
        <v>216829</v>
      </c>
      <c r="J339" s="16">
        <f t="shared" si="59"/>
        <v>-12249</v>
      </c>
      <c r="K339" s="15">
        <f t="shared" si="57"/>
        <v>229078</v>
      </c>
      <c r="L339" s="15">
        <f t="shared" si="58"/>
        <v>-6909964</v>
      </c>
      <c r="O339" s="15"/>
      <c r="P339" s="16"/>
      <c r="Q339" s="15"/>
      <c r="R339" s="15"/>
    </row>
    <row r="340" spans="2:18" x14ac:dyDescent="0.55000000000000004">
      <c r="B340">
        <f t="shared" si="50"/>
        <v>332</v>
      </c>
      <c r="C340" s="15">
        <f t="shared" si="51"/>
        <v>272270</v>
      </c>
      <c r="D340" s="16">
        <f t="shared" si="52"/>
        <v>-31928</v>
      </c>
      <c r="E340" s="15">
        <f t="shared" si="53"/>
        <v>304198</v>
      </c>
      <c r="F340" s="15">
        <f t="shared" si="54"/>
        <v>-9214180</v>
      </c>
      <c r="H340">
        <f t="shared" si="55"/>
        <v>332</v>
      </c>
      <c r="I340" s="15">
        <f t="shared" si="56"/>
        <v>216829</v>
      </c>
      <c r="J340" s="16">
        <f t="shared" si="59"/>
        <v>-12669</v>
      </c>
      <c r="K340" s="15">
        <f t="shared" si="57"/>
        <v>229498</v>
      </c>
      <c r="L340" s="15">
        <f t="shared" si="58"/>
        <v>-7139462</v>
      </c>
      <c r="O340" s="15"/>
      <c r="P340" s="16"/>
      <c r="Q340" s="15"/>
      <c r="R340" s="15"/>
    </row>
    <row r="341" spans="2:18" x14ac:dyDescent="0.55000000000000004">
      <c r="B341">
        <f t="shared" si="50"/>
        <v>333</v>
      </c>
      <c r="C341" s="15">
        <f t="shared" si="51"/>
        <v>272270</v>
      </c>
      <c r="D341" s="16">
        <f t="shared" si="52"/>
        <v>-33018</v>
      </c>
      <c r="E341" s="15">
        <f t="shared" si="53"/>
        <v>305288</v>
      </c>
      <c r="F341" s="15">
        <f t="shared" si="54"/>
        <v>-9519468</v>
      </c>
      <c r="H341">
        <f t="shared" si="55"/>
        <v>333</v>
      </c>
      <c r="I341" s="15">
        <f t="shared" si="56"/>
        <v>216829</v>
      </c>
      <c r="J341" s="16">
        <f t="shared" si="59"/>
        <v>-13090</v>
      </c>
      <c r="K341" s="15">
        <f t="shared" si="57"/>
        <v>229919</v>
      </c>
      <c r="L341" s="15">
        <f t="shared" si="58"/>
        <v>-7369381</v>
      </c>
      <c r="O341" s="15"/>
      <c r="P341" s="16"/>
      <c r="Q341" s="15"/>
      <c r="R341" s="15"/>
    </row>
    <row r="342" spans="2:18" x14ac:dyDescent="0.55000000000000004">
      <c r="B342">
        <f t="shared" si="50"/>
        <v>334</v>
      </c>
      <c r="C342" s="15">
        <f t="shared" si="51"/>
        <v>272270</v>
      </c>
      <c r="D342" s="16">
        <f t="shared" si="52"/>
        <v>-34112</v>
      </c>
      <c r="E342" s="15">
        <f t="shared" si="53"/>
        <v>306382</v>
      </c>
      <c r="F342" s="15">
        <f t="shared" si="54"/>
        <v>-9825850</v>
      </c>
      <c r="H342">
        <f t="shared" si="55"/>
        <v>334</v>
      </c>
      <c r="I342" s="15">
        <f t="shared" si="56"/>
        <v>216829</v>
      </c>
      <c r="J342" s="16">
        <f t="shared" si="59"/>
        <v>-13511</v>
      </c>
      <c r="K342" s="15">
        <f t="shared" si="57"/>
        <v>230340</v>
      </c>
      <c r="L342" s="15">
        <f t="shared" si="58"/>
        <v>-7599721</v>
      </c>
      <c r="O342" s="15"/>
      <c r="P342" s="16"/>
      <c r="Q342" s="15"/>
      <c r="R342" s="15"/>
    </row>
    <row r="343" spans="2:18" x14ac:dyDescent="0.55000000000000004">
      <c r="B343">
        <f t="shared" si="50"/>
        <v>335</v>
      </c>
      <c r="C343" s="15">
        <f t="shared" si="51"/>
        <v>272270</v>
      </c>
      <c r="D343" s="16">
        <f t="shared" si="52"/>
        <v>-35210</v>
      </c>
      <c r="E343" s="15">
        <f t="shared" si="53"/>
        <v>307480</v>
      </c>
      <c r="F343" s="15">
        <f t="shared" si="54"/>
        <v>-10133330</v>
      </c>
      <c r="H343">
        <f t="shared" si="55"/>
        <v>335</v>
      </c>
      <c r="I343" s="15">
        <f t="shared" si="56"/>
        <v>216829</v>
      </c>
      <c r="J343" s="16">
        <f t="shared" si="59"/>
        <v>-13933</v>
      </c>
      <c r="K343" s="15">
        <f t="shared" si="57"/>
        <v>230762</v>
      </c>
      <c r="L343" s="15">
        <f t="shared" si="58"/>
        <v>-7830483</v>
      </c>
      <c r="O343" s="15"/>
      <c r="P343" s="16"/>
      <c r="Q343" s="15"/>
      <c r="R343" s="15"/>
    </row>
    <row r="344" spans="2:18" x14ac:dyDescent="0.55000000000000004">
      <c r="B344">
        <f t="shared" si="50"/>
        <v>336</v>
      </c>
      <c r="C344" s="15">
        <f t="shared" si="51"/>
        <v>272270</v>
      </c>
      <c r="D344" s="16">
        <f t="shared" si="52"/>
        <v>-36312</v>
      </c>
      <c r="E344" s="15">
        <f t="shared" si="53"/>
        <v>308582</v>
      </c>
      <c r="F344" s="15">
        <f t="shared" si="54"/>
        <v>-10441912</v>
      </c>
      <c r="H344">
        <f t="shared" si="55"/>
        <v>336</v>
      </c>
      <c r="I344" s="15">
        <f t="shared" si="56"/>
        <v>216829</v>
      </c>
      <c r="J344" s="16">
        <f t="shared" si="59"/>
        <v>-14356</v>
      </c>
      <c r="K344" s="15">
        <f t="shared" si="57"/>
        <v>231185</v>
      </c>
      <c r="L344" s="15">
        <f t="shared" si="58"/>
        <v>-8061668</v>
      </c>
      <c r="O344" s="15"/>
      <c r="P344" s="16"/>
      <c r="Q344" s="15"/>
      <c r="R344" s="15"/>
    </row>
    <row r="345" spans="2:18" x14ac:dyDescent="0.55000000000000004">
      <c r="B345">
        <f t="shared" si="50"/>
        <v>337</v>
      </c>
      <c r="C345" s="15">
        <f t="shared" si="51"/>
        <v>272270</v>
      </c>
      <c r="D345" s="16">
        <f t="shared" si="52"/>
        <v>-37417</v>
      </c>
      <c r="E345" s="15">
        <f t="shared" si="53"/>
        <v>309687</v>
      </c>
      <c r="F345" s="15">
        <f t="shared" si="54"/>
        <v>-10751599</v>
      </c>
      <c r="H345">
        <f t="shared" si="55"/>
        <v>337</v>
      </c>
      <c r="I345" s="15">
        <f t="shared" si="56"/>
        <v>216829</v>
      </c>
      <c r="J345" s="16">
        <f t="shared" si="59"/>
        <v>-14780</v>
      </c>
      <c r="K345" s="15">
        <f t="shared" si="57"/>
        <v>231609</v>
      </c>
      <c r="L345" s="15">
        <f t="shared" si="58"/>
        <v>-8293277</v>
      </c>
      <c r="O345" s="15"/>
      <c r="P345" s="16"/>
      <c r="Q345" s="15"/>
      <c r="R345" s="15"/>
    </row>
    <row r="346" spans="2:18" x14ac:dyDescent="0.55000000000000004">
      <c r="B346">
        <f t="shared" si="50"/>
        <v>338</v>
      </c>
      <c r="C346" s="15">
        <f t="shared" si="51"/>
        <v>272270</v>
      </c>
      <c r="D346" s="16">
        <f t="shared" si="52"/>
        <v>-38527</v>
      </c>
      <c r="E346" s="15">
        <f t="shared" si="53"/>
        <v>310797</v>
      </c>
      <c r="F346" s="15">
        <f t="shared" si="54"/>
        <v>-11062396</v>
      </c>
      <c r="H346">
        <f t="shared" si="55"/>
        <v>338</v>
      </c>
      <c r="I346" s="15">
        <f t="shared" si="56"/>
        <v>216829</v>
      </c>
      <c r="J346" s="16">
        <f t="shared" si="59"/>
        <v>-15205</v>
      </c>
      <c r="K346" s="15">
        <f t="shared" si="57"/>
        <v>232034</v>
      </c>
      <c r="L346" s="15">
        <f t="shared" si="58"/>
        <v>-8525311</v>
      </c>
      <c r="O346" s="15"/>
      <c r="P346" s="16"/>
      <c r="Q346" s="15"/>
      <c r="R346" s="15"/>
    </row>
    <row r="347" spans="2:18" x14ac:dyDescent="0.55000000000000004">
      <c r="B347">
        <f t="shared" si="50"/>
        <v>339</v>
      </c>
      <c r="C347" s="15">
        <f t="shared" si="51"/>
        <v>272270</v>
      </c>
      <c r="D347" s="16">
        <f t="shared" si="52"/>
        <v>-39641</v>
      </c>
      <c r="E347" s="15">
        <f t="shared" si="53"/>
        <v>311911</v>
      </c>
      <c r="F347" s="15">
        <f t="shared" si="54"/>
        <v>-11374307</v>
      </c>
      <c r="H347">
        <f t="shared" si="55"/>
        <v>339</v>
      </c>
      <c r="I347" s="15">
        <f t="shared" si="56"/>
        <v>216829</v>
      </c>
      <c r="J347" s="16">
        <f t="shared" si="59"/>
        <v>-15630</v>
      </c>
      <c r="K347" s="15">
        <f t="shared" si="57"/>
        <v>232459</v>
      </c>
      <c r="L347" s="15">
        <f t="shared" si="58"/>
        <v>-8757770</v>
      </c>
      <c r="O347" s="15"/>
      <c r="P347" s="16"/>
      <c r="Q347" s="15"/>
      <c r="R347" s="15"/>
    </row>
    <row r="348" spans="2:18" x14ac:dyDescent="0.55000000000000004">
      <c r="B348">
        <f t="shared" si="50"/>
        <v>340</v>
      </c>
      <c r="C348" s="15">
        <f t="shared" si="51"/>
        <v>272270</v>
      </c>
      <c r="D348" s="16">
        <f t="shared" si="52"/>
        <v>-40758</v>
      </c>
      <c r="E348" s="15">
        <f t="shared" si="53"/>
        <v>313028</v>
      </c>
      <c r="F348" s="15">
        <f t="shared" si="54"/>
        <v>-11687335</v>
      </c>
      <c r="H348">
        <f t="shared" si="55"/>
        <v>340</v>
      </c>
      <c r="I348" s="15">
        <f t="shared" si="56"/>
        <v>216829</v>
      </c>
      <c r="J348" s="16">
        <f t="shared" si="59"/>
        <v>-16056</v>
      </c>
      <c r="K348" s="15">
        <f t="shared" si="57"/>
        <v>232885</v>
      </c>
      <c r="L348" s="15">
        <f t="shared" si="58"/>
        <v>-8990655</v>
      </c>
      <c r="O348" s="15"/>
      <c r="P348" s="16"/>
      <c r="Q348" s="15"/>
      <c r="R348" s="15"/>
    </row>
    <row r="349" spans="2:18" x14ac:dyDescent="0.55000000000000004">
      <c r="B349">
        <f t="shared" si="50"/>
        <v>341</v>
      </c>
      <c r="C349" s="15">
        <f t="shared" si="51"/>
        <v>272270</v>
      </c>
      <c r="D349" s="16">
        <f t="shared" si="52"/>
        <v>-41880</v>
      </c>
      <c r="E349" s="15">
        <f t="shared" si="53"/>
        <v>314150</v>
      </c>
      <c r="F349" s="15">
        <f t="shared" si="54"/>
        <v>-12001485</v>
      </c>
      <c r="H349">
        <f t="shared" si="55"/>
        <v>341</v>
      </c>
      <c r="I349" s="15">
        <f t="shared" si="56"/>
        <v>216829</v>
      </c>
      <c r="J349" s="16">
        <f t="shared" si="59"/>
        <v>-16483</v>
      </c>
      <c r="K349" s="15">
        <f t="shared" si="57"/>
        <v>233312</v>
      </c>
      <c r="L349" s="15">
        <f t="shared" si="58"/>
        <v>-9223967</v>
      </c>
      <c r="O349" s="15"/>
      <c r="P349" s="16"/>
      <c r="Q349" s="15"/>
      <c r="R349" s="15"/>
    </row>
    <row r="350" spans="2:18" x14ac:dyDescent="0.55000000000000004">
      <c r="B350">
        <f t="shared" si="50"/>
        <v>342</v>
      </c>
      <c r="C350" s="15">
        <f t="shared" si="51"/>
        <v>272270</v>
      </c>
      <c r="D350" s="16">
        <f t="shared" si="52"/>
        <v>-43006</v>
      </c>
      <c r="E350" s="15">
        <f t="shared" si="53"/>
        <v>315276</v>
      </c>
      <c r="F350" s="15">
        <f t="shared" si="54"/>
        <v>-12316761</v>
      </c>
      <c r="H350">
        <f t="shared" si="55"/>
        <v>342</v>
      </c>
      <c r="I350" s="15">
        <f t="shared" si="56"/>
        <v>216829</v>
      </c>
      <c r="J350" s="16">
        <f t="shared" si="59"/>
        <v>-16911</v>
      </c>
      <c r="K350" s="15">
        <f t="shared" si="57"/>
        <v>233740</v>
      </c>
      <c r="L350" s="15">
        <f t="shared" si="58"/>
        <v>-9457707</v>
      </c>
      <c r="O350" s="15"/>
      <c r="P350" s="16"/>
      <c r="Q350" s="15"/>
      <c r="R350" s="15"/>
    </row>
    <row r="351" spans="2:18" x14ac:dyDescent="0.55000000000000004">
      <c r="B351">
        <f t="shared" si="50"/>
        <v>343</v>
      </c>
      <c r="C351" s="15">
        <f t="shared" si="51"/>
        <v>272270</v>
      </c>
      <c r="D351" s="16">
        <f t="shared" si="52"/>
        <v>-44136</v>
      </c>
      <c r="E351" s="15">
        <f t="shared" si="53"/>
        <v>316406</v>
      </c>
      <c r="F351" s="15">
        <f t="shared" si="54"/>
        <v>-12633167</v>
      </c>
      <c r="H351">
        <f t="shared" si="55"/>
        <v>343</v>
      </c>
      <c r="I351" s="15">
        <f t="shared" si="56"/>
        <v>216829</v>
      </c>
      <c r="J351" s="16">
        <f t="shared" si="59"/>
        <v>-17340</v>
      </c>
      <c r="K351" s="15">
        <f t="shared" si="57"/>
        <v>234169</v>
      </c>
      <c r="L351" s="15">
        <f t="shared" si="58"/>
        <v>-9691876</v>
      </c>
      <c r="O351" s="15"/>
      <c r="P351" s="16"/>
      <c r="Q351" s="15"/>
      <c r="R351" s="15"/>
    </row>
    <row r="352" spans="2:18" x14ac:dyDescent="0.55000000000000004">
      <c r="B352">
        <f t="shared" si="50"/>
        <v>344</v>
      </c>
      <c r="C352" s="15">
        <f t="shared" si="51"/>
        <v>272270</v>
      </c>
      <c r="D352" s="16">
        <f t="shared" si="52"/>
        <v>-45269</v>
      </c>
      <c r="E352" s="15">
        <f t="shared" si="53"/>
        <v>317539</v>
      </c>
      <c r="F352" s="15">
        <f t="shared" si="54"/>
        <v>-12950706</v>
      </c>
      <c r="H352">
        <f t="shared" si="55"/>
        <v>344</v>
      </c>
      <c r="I352" s="15">
        <f t="shared" si="56"/>
        <v>216829</v>
      </c>
      <c r="J352" s="16">
        <f t="shared" si="59"/>
        <v>-17769</v>
      </c>
      <c r="K352" s="15">
        <f t="shared" si="57"/>
        <v>234598</v>
      </c>
      <c r="L352" s="15">
        <f t="shared" si="58"/>
        <v>-9926474</v>
      </c>
      <c r="O352" s="15"/>
      <c r="P352" s="16"/>
      <c r="Q352" s="15"/>
      <c r="R352" s="15"/>
    </row>
    <row r="353" spans="2:18" x14ac:dyDescent="0.55000000000000004">
      <c r="B353">
        <f t="shared" si="50"/>
        <v>345</v>
      </c>
      <c r="C353" s="15">
        <f t="shared" si="51"/>
        <v>272270</v>
      </c>
      <c r="D353" s="16">
        <f t="shared" si="52"/>
        <v>-46407</v>
      </c>
      <c r="E353" s="15">
        <f t="shared" si="53"/>
        <v>318677</v>
      </c>
      <c r="F353" s="15">
        <f t="shared" si="54"/>
        <v>-13269383</v>
      </c>
      <c r="H353">
        <f t="shared" si="55"/>
        <v>345</v>
      </c>
      <c r="I353" s="15">
        <f t="shared" si="56"/>
        <v>216829</v>
      </c>
      <c r="J353" s="16">
        <f t="shared" si="59"/>
        <v>-18199</v>
      </c>
      <c r="K353" s="15">
        <f t="shared" si="57"/>
        <v>235028</v>
      </c>
      <c r="L353" s="15">
        <f t="shared" si="58"/>
        <v>-10161502</v>
      </c>
      <c r="O353" s="15"/>
      <c r="P353" s="16"/>
      <c r="Q353" s="15"/>
      <c r="R353" s="15"/>
    </row>
    <row r="354" spans="2:18" x14ac:dyDescent="0.55000000000000004">
      <c r="B354">
        <f t="shared" si="50"/>
        <v>346</v>
      </c>
      <c r="C354" s="15">
        <f t="shared" si="51"/>
        <v>272270</v>
      </c>
      <c r="D354" s="16">
        <f t="shared" si="52"/>
        <v>-47549</v>
      </c>
      <c r="E354" s="15">
        <f t="shared" si="53"/>
        <v>319819</v>
      </c>
      <c r="F354" s="15">
        <f t="shared" si="54"/>
        <v>-13589202</v>
      </c>
      <c r="H354">
        <f t="shared" si="55"/>
        <v>346</v>
      </c>
      <c r="I354" s="15">
        <f t="shared" si="56"/>
        <v>216829</v>
      </c>
      <c r="J354" s="16">
        <f t="shared" si="59"/>
        <v>-18630</v>
      </c>
      <c r="K354" s="15">
        <f t="shared" si="57"/>
        <v>235459</v>
      </c>
      <c r="L354" s="15">
        <f t="shared" si="58"/>
        <v>-10396961</v>
      </c>
      <c r="O354" s="15"/>
      <c r="P354" s="16"/>
      <c r="Q354" s="15"/>
      <c r="R354" s="15"/>
    </row>
    <row r="355" spans="2:18" x14ac:dyDescent="0.55000000000000004">
      <c r="B355">
        <f t="shared" si="50"/>
        <v>347</v>
      </c>
      <c r="C355" s="15">
        <f t="shared" si="51"/>
        <v>272270</v>
      </c>
      <c r="D355" s="16">
        <f t="shared" si="52"/>
        <v>-48695</v>
      </c>
      <c r="E355" s="15">
        <f t="shared" si="53"/>
        <v>320965</v>
      </c>
      <c r="F355" s="15">
        <f t="shared" si="54"/>
        <v>-13910167</v>
      </c>
      <c r="H355">
        <f t="shared" si="55"/>
        <v>347</v>
      </c>
      <c r="I355" s="15">
        <f t="shared" si="56"/>
        <v>216829</v>
      </c>
      <c r="J355" s="16">
        <f t="shared" si="59"/>
        <v>-19062</v>
      </c>
      <c r="K355" s="15">
        <f t="shared" si="57"/>
        <v>235891</v>
      </c>
      <c r="L355" s="15">
        <f t="shared" si="58"/>
        <v>-10632852</v>
      </c>
      <c r="O355" s="15"/>
      <c r="P355" s="16"/>
      <c r="Q355" s="15"/>
      <c r="R355" s="15"/>
    </row>
    <row r="356" spans="2:18" x14ac:dyDescent="0.55000000000000004">
      <c r="B356">
        <f t="shared" si="50"/>
        <v>348</v>
      </c>
      <c r="C356" s="15">
        <f t="shared" si="51"/>
        <v>272270</v>
      </c>
      <c r="D356" s="16">
        <f t="shared" si="52"/>
        <v>-49845</v>
      </c>
      <c r="E356" s="15">
        <f t="shared" si="53"/>
        <v>322115</v>
      </c>
      <c r="F356" s="15">
        <f t="shared" si="54"/>
        <v>-14232282</v>
      </c>
      <c r="H356">
        <f t="shared" si="55"/>
        <v>348</v>
      </c>
      <c r="I356" s="15">
        <f t="shared" si="56"/>
        <v>216829</v>
      </c>
      <c r="J356" s="16">
        <f t="shared" si="59"/>
        <v>-19494</v>
      </c>
      <c r="K356" s="15">
        <f t="shared" si="57"/>
        <v>236323</v>
      </c>
      <c r="L356" s="15">
        <f t="shared" si="58"/>
        <v>-10869175</v>
      </c>
      <c r="O356" s="15"/>
      <c r="P356" s="16"/>
      <c r="Q356" s="15"/>
      <c r="R356" s="15"/>
    </row>
    <row r="357" spans="2:18" x14ac:dyDescent="0.55000000000000004">
      <c r="B357">
        <f t="shared" si="50"/>
        <v>349</v>
      </c>
      <c r="C357" s="15">
        <f t="shared" si="51"/>
        <v>272270</v>
      </c>
      <c r="D357" s="16">
        <f t="shared" si="52"/>
        <v>-51000</v>
      </c>
      <c r="E357" s="15">
        <f t="shared" si="53"/>
        <v>323270</v>
      </c>
      <c r="F357" s="15">
        <f t="shared" si="54"/>
        <v>-14555552</v>
      </c>
      <c r="H357">
        <f t="shared" si="55"/>
        <v>349</v>
      </c>
      <c r="I357" s="15">
        <f t="shared" si="56"/>
        <v>216829</v>
      </c>
      <c r="J357" s="16">
        <f t="shared" si="59"/>
        <v>-19927</v>
      </c>
      <c r="K357" s="15">
        <f t="shared" si="57"/>
        <v>236756</v>
      </c>
      <c r="L357" s="15">
        <f t="shared" si="58"/>
        <v>-11105931</v>
      </c>
      <c r="O357" s="15"/>
      <c r="P357" s="16"/>
      <c r="Q357" s="15"/>
      <c r="R357" s="15"/>
    </row>
    <row r="358" spans="2:18" x14ac:dyDescent="0.55000000000000004">
      <c r="B358">
        <f t="shared" si="50"/>
        <v>350</v>
      </c>
      <c r="C358" s="15">
        <f t="shared" si="51"/>
        <v>272270</v>
      </c>
      <c r="D358" s="16">
        <f t="shared" si="52"/>
        <v>-52158</v>
      </c>
      <c r="E358" s="15">
        <f t="shared" si="53"/>
        <v>324428</v>
      </c>
      <c r="F358" s="15">
        <f t="shared" si="54"/>
        <v>-14879980</v>
      </c>
      <c r="H358">
        <f t="shared" si="55"/>
        <v>350</v>
      </c>
      <c r="I358" s="15">
        <f t="shared" si="56"/>
        <v>216829</v>
      </c>
      <c r="J358" s="16">
        <f t="shared" si="59"/>
        <v>-20361</v>
      </c>
      <c r="K358" s="15">
        <f t="shared" si="57"/>
        <v>237190</v>
      </c>
      <c r="L358" s="15">
        <f t="shared" si="58"/>
        <v>-11343121</v>
      </c>
      <c r="O358" s="15"/>
      <c r="P358" s="16"/>
      <c r="Q358" s="15"/>
      <c r="R358" s="15"/>
    </row>
    <row r="359" spans="2:18" x14ac:dyDescent="0.55000000000000004">
      <c r="B359">
        <f t="shared" si="50"/>
        <v>351</v>
      </c>
      <c r="C359" s="15">
        <f t="shared" si="51"/>
        <v>272270</v>
      </c>
      <c r="D359" s="16">
        <f t="shared" si="52"/>
        <v>-53320</v>
      </c>
      <c r="E359" s="15">
        <f t="shared" si="53"/>
        <v>325590</v>
      </c>
      <c r="F359" s="15">
        <f t="shared" si="54"/>
        <v>-15205570</v>
      </c>
      <c r="H359">
        <f t="shared" si="55"/>
        <v>351</v>
      </c>
      <c r="I359" s="15">
        <f t="shared" si="56"/>
        <v>216829</v>
      </c>
      <c r="J359" s="16">
        <f t="shared" si="59"/>
        <v>-20796</v>
      </c>
      <c r="K359" s="15">
        <f t="shared" si="57"/>
        <v>237625</v>
      </c>
      <c r="L359" s="15">
        <f t="shared" si="58"/>
        <v>-11580746</v>
      </c>
      <c r="O359" s="15"/>
      <c r="P359" s="16"/>
      <c r="Q359" s="15"/>
      <c r="R359" s="15"/>
    </row>
    <row r="360" spans="2:18" x14ac:dyDescent="0.55000000000000004">
      <c r="B360">
        <f t="shared" si="50"/>
        <v>352</v>
      </c>
      <c r="C360" s="15">
        <f t="shared" si="51"/>
        <v>272270</v>
      </c>
      <c r="D360" s="16">
        <f t="shared" si="52"/>
        <v>-54487</v>
      </c>
      <c r="E360" s="15">
        <f t="shared" si="53"/>
        <v>326757</v>
      </c>
      <c r="F360" s="15">
        <f t="shared" si="54"/>
        <v>-15532327</v>
      </c>
      <c r="H360">
        <f t="shared" si="55"/>
        <v>352</v>
      </c>
      <c r="I360" s="15">
        <f t="shared" si="56"/>
        <v>216829</v>
      </c>
      <c r="J360" s="16">
        <f t="shared" si="59"/>
        <v>-21232</v>
      </c>
      <c r="K360" s="15">
        <f t="shared" si="57"/>
        <v>238061</v>
      </c>
      <c r="L360" s="15">
        <f t="shared" si="58"/>
        <v>-11818807</v>
      </c>
      <c r="O360" s="15"/>
      <c r="P360" s="16"/>
      <c r="Q360" s="15"/>
      <c r="R360" s="15"/>
    </row>
    <row r="361" spans="2:18" x14ac:dyDescent="0.55000000000000004">
      <c r="B361">
        <f t="shared" si="50"/>
        <v>353</v>
      </c>
      <c r="C361" s="15">
        <f t="shared" si="51"/>
        <v>272270</v>
      </c>
      <c r="D361" s="16">
        <f t="shared" si="52"/>
        <v>-55658</v>
      </c>
      <c r="E361" s="15">
        <f t="shared" si="53"/>
        <v>327928</v>
      </c>
      <c r="F361" s="15">
        <f t="shared" si="54"/>
        <v>-15860255</v>
      </c>
      <c r="H361">
        <f t="shared" si="55"/>
        <v>353</v>
      </c>
      <c r="I361" s="15">
        <f t="shared" si="56"/>
        <v>216829</v>
      </c>
      <c r="J361" s="16">
        <f t="shared" si="59"/>
        <v>-21668</v>
      </c>
      <c r="K361" s="15">
        <f t="shared" si="57"/>
        <v>238497</v>
      </c>
      <c r="L361" s="15">
        <f t="shared" si="58"/>
        <v>-12057304</v>
      </c>
      <c r="O361" s="15"/>
      <c r="P361" s="16"/>
      <c r="Q361" s="15"/>
      <c r="R361" s="15"/>
    </row>
    <row r="362" spans="2:18" x14ac:dyDescent="0.55000000000000004">
      <c r="B362">
        <f t="shared" si="50"/>
        <v>354</v>
      </c>
      <c r="C362" s="15">
        <f t="shared" si="51"/>
        <v>272270</v>
      </c>
      <c r="D362" s="16">
        <f t="shared" si="52"/>
        <v>-56833</v>
      </c>
      <c r="E362" s="15">
        <f t="shared" si="53"/>
        <v>329103</v>
      </c>
      <c r="F362" s="15">
        <f t="shared" si="54"/>
        <v>-16189358</v>
      </c>
      <c r="H362">
        <f t="shared" si="55"/>
        <v>354</v>
      </c>
      <c r="I362" s="15">
        <f t="shared" si="56"/>
        <v>216829</v>
      </c>
      <c r="J362" s="16">
        <f t="shared" si="59"/>
        <v>-22106</v>
      </c>
      <c r="K362" s="15">
        <f t="shared" si="57"/>
        <v>238935</v>
      </c>
      <c r="L362" s="15">
        <f t="shared" si="58"/>
        <v>-12296239</v>
      </c>
      <c r="O362" s="15"/>
      <c r="P362" s="16"/>
      <c r="Q362" s="15"/>
      <c r="R362" s="15"/>
    </row>
    <row r="363" spans="2:18" x14ac:dyDescent="0.55000000000000004">
      <c r="B363">
        <f t="shared" si="50"/>
        <v>355</v>
      </c>
      <c r="C363" s="15">
        <f t="shared" si="51"/>
        <v>272270</v>
      </c>
      <c r="D363" s="16">
        <f t="shared" si="52"/>
        <v>-58012</v>
      </c>
      <c r="E363" s="15">
        <f t="shared" si="53"/>
        <v>330282</v>
      </c>
      <c r="F363" s="15">
        <f t="shared" si="54"/>
        <v>-16519640</v>
      </c>
      <c r="H363">
        <f t="shared" si="55"/>
        <v>355</v>
      </c>
      <c r="I363" s="15">
        <f t="shared" si="56"/>
        <v>216829</v>
      </c>
      <c r="J363" s="16">
        <f t="shared" si="59"/>
        <v>-22544</v>
      </c>
      <c r="K363" s="15">
        <f t="shared" si="57"/>
        <v>239373</v>
      </c>
      <c r="L363" s="15">
        <f t="shared" si="58"/>
        <v>-12535612</v>
      </c>
      <c r="O363" s="15"/>
      <c r="P363" s="16"/>
      <c r="Q363" s="15"/>
      <c r="R363" s="15"/>
    </row>
    <row r="364" spans="2:18" x14ac:dyDescent="0.55000000000000004">
      <c r="B364">
        <f t="shared" si="50"/>
        <v>356</v>
      </c>
      <c r="C364" s="15">
        <f t="shared" si="51"/>
        <v>272270</v>
      </c>
      <c r="D364" s="16">
        <f t="shared" si="52"/>
        <v>-59196</v>
      </c>
      <c r="E364" s="15">
        <f t="shared" si="53"/>
        <v>331466</v>
      </c>
      <c r="F364" s="15">
        <f t="shared" si="54"/>
        <v>-16851106</v>
      </c>
      <c r="H364">
        <f t="shared" si="55"/>
        <v>356</v>
      </c>
      <c r="I364" s="15">
        <f t="shared" si="56"/>
        <v>216829</v>
      </c>
      <c r="J364" s="16">
        <f t="shared" si="59"/>
        <v>-22982</v>
      </c>
      <c r="K364" s="15">
        <f t="shared" si="57"/>
        <v>239811</v>
      </c>
      <c r="L364" s="15">
        <f t="shared" si="58"/>
        <v>-12775423</v>
      </c>
      <c r="O364" s="15"/>
      <c r="P364" s="16"/>
      <c r="Q364" s="15"/>
      <c r="R364" s="15"/>
    </row>
    <row r="365" spans="2:18" x14ac:dyDescent="0.55000000000000004">
      <c r="B365">
        <f t="shared" si="50"/>
        <v>357</v>
      </c>
      <c r="C365" s="15">
        <f t="shared" si="51"/>
        <v>272270</v>
      </c>
      <c r="D365" s="16">
        <f t="shared" si="52"/>
        <v>-60384</v>
      </c>
      <c r="E365" s="15">
        <f t="shared" si="53"/>
        <v>332654</v>
      </c>
      <c r="F365" s="15">
        <f t="shared" si="54"/>
        <v>-17183760</v>
      </c>
      <c r="H365">
        <f t="shared" si="55"/>
        <v>357</v>
      </c>
      <c r="I365" s="15">
        <f t="shared" si="56"/>
        <v>216829</v>
      </c>
      <c r="J365" s="16">
        <f t="shared" si="59"/>
        <v>-23422</v>
      </c>
      <c r="K365" s="15">
        <f t="shared" si="57"/>
        <v>240251</v>
      </c>
      <c r="L365" s="15">
        <f t="shared" si="58"/>
        <v>-13015674</v>
      </c>
      <c r="O365" s="15"/>
      <c r="P365" s="16"/>
      <c r="Q365" s="15"/>
      <c r="R365" s="15"/>
    </row>
    <row r="366" spans="2:18" x14ac:dyDescent="0.55000000000000004">
      <c r="B366">
        <f t="shared" si="50"/>
        <v>358</v>
      </c>
      <c r="C366" s="15">
        <f t="shared" si="51"/>
        <v>272270</v>
      </c>
      <c r="D366" s="16">
        <f t="shared" si="52"/>
        <v>-61576</v>
      </c>
      <c r="E366" s="15">
        <f t="shared" si="53"/>
        <v>333846</v>
      </c>
      <c r="F366" s="15">
        <f t="shared" si="54"/>
        <v>-17517606</v>
      </c>
      <c r="H366">
        <f t="shared" si="55"/>
        <v>358</v>
      </c>
      <c r="I366" s="15">
        <f t="shared" si="56"/>
        <v>216829</v>
      </c>
      <c r="J366" s="16">
        <f t="shared" si="59"/>
        <v>-23863</v>
      </c>
      <c r="K366" s="15">
        <f t="shared" si="57"/>
        <v>240692</v>
      </c>
      <c r="L366" s="15">
        <f t="shared" si="58"/>
        <v>-13256366</v>
      </c>
      <c r="O366" s="15"/>
      <c r="P366" s="16"/>
      <c r="Q366" s="15"/>
      <c r="R366" s="15"/>
    </row>
    <row r="367" spans="2:18" x14ac:dyDescent="0.55000000000000004">
      <c r="B367">
        <f t="shared" si="50"/>
        <v>359</v>
      </c>
      <c r="C367" s="15">
        <f t="shared" si="51"/>
        <v>272270</v>
      </c>
      <c r="D367" s="16">
        <f t="shared" si="52"/>
        <v>-62772</v>
      </c>
      <c r="E367" s="15">
        <f t="shared" si="53"/>
        <v>335042</v>
      </c>
      <c r="F367" s="15">
        <f t="shared" si="54"/>
        <v>-17852648</v>
      </c>
      <c r="H367">
        <f t="shared" si="55"/>
        <v>359</v>
      </c>
      <c r="I367" s="15">
        <f t="shared" si="56"/>
        <v>216829</v>
      </c>
      <c r="J367" s="16">
        <f t="shared" si="59"/>
        <v>-24304</v>
      </c>
      <c r="K367" s="15">
        <f t="shared" si="57"/>
        <v>241133</v>
      </c>
      <c r="L367" s="15">
        <f t="shared" si="58"/>
        <v>-13497499</v>
      </c>
      <c r="O367" s="15"/>
      <c r="P367" s="16"/>
      <c r="Q367" s="15"/>
      <c r="R367" s="15"/>
    </row>
    <row r="368" spans="2:18" x14ac:dyDescent="0.55000000000000004">
      <c r="B368">
        <f t="shared" si="50"/>
        <v>360</v>
      </c>
      <c r="C368" s="15">
        <f t="shared" si="51"/>
        <v>272270</v>
      </c>
      <c r="D368" s="16">
        <f t="shared" si="52"/>
        <v>-63972</v>
      </c>
      <c r="E368" s="15">
        <f t="shared" si="53"/>
        <v>336242</v>
      </c>
      <c r="F368" s="15">
        <f t="shared" si="54"/>
        <v>-18188890</v>
      </c>
      <c r="H368">
        <f t="shared" si="55"/>
        <v>360</v>
      </c>
      <c r="I368" s="15">
        <f t="shared" si="56"/>
        <v>216829</v>
      </c>
      <c r="J368" s="16">
        <f t="shared" si="59"/>
        <v>-24746</v>
      </c>
      <c r="K368" s="15">
        <f t="shared" si="57"/>
        <v>241575</v>
      </c>
      <c r="L368" s="15">
        <f t="shared" si="58"/>
        <v>-13739074</v>
      </c>
      <c r="O368" s="15"/>
      <c r="P368" s="16"/>
      <c r="Q368" s="15"/>
      <c r="R368" s="15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0178B676EA74D499F63BA043312B0C3" ma:contentTypeVersion="15" ma:contentTypeDescription="新しいドキュメントを作成します。" ma:contentTypeScope="" ma:versionID="4aa44108e00a064dd4ef74342a0e7fcf">
  <xsd:schema xmlns:xsd="http://www.w3.org/2001/XMLSchema" xmlns:xs="http://www.w3.org/2001/XMLSchema" xmlns:p="http://schemas.microsoft.com/office/2006/metadata/properties" xmlns:ns2="95184bae-e323-4802-a7bd-d06260c388f3" xmlns:ns3="34a9a272-6127-4c64-9538-b28ce3308286" targetNamespace="http://schemas.microsoft.com/office/2006/metadata/properties" ma:root="true" ma:fieldsID="2bde8312942d1dc7ad1f5e7add8cd9ed" ns2:_="" ns3:_="">
    <xsd:import namespace="95184bae-e323-4802-a7bd-d06260c388f3"/>
    <xsd:import namespace="34a9a272-6127-4c64-9538-b28ce3308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84bae-e323-4802-a7bd-d06260c38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81964690-1b5d-4a7f-946b-149d91f92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9a272-6127-4c64-9538-b28ce330828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be8784d-0920-4f06-9d9f-03b5224c3c26}" ma:internalName="TaxCatchAll" ma:showField="CatchAllData" ma:web="34a9a272-6127-4c64-9538-b28ce3308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a9a272-6127-4c64-9538-b28ce3308286" xsi:nil="true"/>
    <lcf76f155ced4ddcb4097134ff3c332f xmlns="95184bae-e323-4802-a7bd-d06260c388f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E76D94-6FCF-42ED-8839-87732C57F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84bae-e323-4802-a7bd-d06260c388f3"/>
    <ds:schemaRef ds:uri="34a9a272-6127-4c64-9538-b28ce3308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A60759-7736-4DA3-883D-B35728ECE864}">
  <ds:schemaRefs>
    <ds:schemaRef ds:uri="http://schemas.microsoft.com/office/2006/metadata/properties"/>
    <ds:schemaRef ds:uri="http://schemas.microsoft.com/office/infopath/2007/PartnerControls"/>
    <ds:schemaRef ds:uri="34a9a272-6127-4c64-9538-b28ce3308286"/>
    <ds:schemaRef ds:uri="95184bae-e323-4802-a7bd-d06260c388f3"/>
  </ds:schemaRefs>
</ds:datastoreItem>
</file>

<file path=customXml/itemProps3.xml><?xml version="1.0" encoding="utf-8"?>
<ds:datastoreItem xmlns:ds="http://schemas.openxmlformats.org/officeDocument/2006/customXml" ds:itemID="{AD5CE8E5-0C1E-4508-B768-C787ACE702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INPUTS</vt:lpstr>
      <vt:lpstr>OUTPUT</vt:lpstr>
      <vt:lpstr>返済シュミレーション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Hirunuma Makoto</dc:creator>
  <cp:lastModifiedBy>Ｋａｗａｋａｍｉ Ｈｉｒｏｎｏｂｕ</cp:lastModifiedBy>
  <cp:lastPrinted>2025-10-19T05:55:45Z</cp:lastPrinted>
  <dcterms:created xsi:type="dcterms:W3CDTF">2025-08-31T22:51:19Z</dcterms:created>
  <dcterms:modified xsi:type="dcterms:W3CDTF">2026-08-30T01:18:21Z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0x01010030178B676EA74D499F63BA043312B0C3</vt:lpwstr>
  </property>
  <property fmtid="{D5CDD505-2E9C-101B-9397-08002B2CF9AE}" pid="3" name="MediaServiceImageTags">
    <vt:lpwstr/>
  </property>
</Properties>
</file>